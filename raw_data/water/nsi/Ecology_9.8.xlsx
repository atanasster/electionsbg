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si-fs-05\sose\Valid_WATER_2024\CALCUL_2024\TABL_INTERNET\BG_Цели динамични редове\"/>
    </mc:Choice>
  </mc:AlternateContent>
  <bookViews>
    <workbookView xWindow="0" yWindow="0" windowWidth="28800" windowHeight="12180"/>
  </bookViews>
  <sheets>
    <sheet name="9.8.1. POP BG" sheetId="1" r:id="rId1"/>
    <sheet name="9.8.2. Statistical Regions" sheetId="2" r:id="rId2"/>
    <sheet name="9.8.3.RBDs" sheetId="3" r:id="rId3"/>
  </sheets>
  <definedNames>
    <definedName name="_xlnm._FilterDatabase" localSheetId="1" hidden="1">'9.8.2. Statistical Regions'!$A$6:$DW$6</definedName>
    <definedName name="Query5">#REF!</definedName>
  </definedNames>
  <calcPr calcId="162913"/>
</workbook>
</file>

<file path=xl/calcChain.xml><?xml version="1.0" encoding="utf-8"?>
<calcChain xmlns="http://schemas.openxmlformats.org/spreadsheetml/2006/main">
  <c r="P18" i="1" l="1"/>
  <c r="P19" i="1" s="1"/>
  <c r="P38" i="3" l="1"/>
  <c r="P31" i="3"/>
  <c r="P24" i="3"/>
  <c r="P17" i="3"/>
  <c r="P10" i="3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7" i="2"/>
  <c r="P15" i="1" l="1"/>
</calcChain>
</file>

<file path=xl/sharedStrings.xml><?xml version="1.0" encoding="utf-8"?>
<sst xmlns="http://schemas.openxmlformats.org/spreadsheetml/2006/main" count="202" uniqueCount="79">
  <si>
    <t>Население, свързано с обществено водоснабдяване</t>
  </si>
  <si>
    <t>Население, свързано с пречиствателни станции за питейни  води</t>
  </si>
  <si>
    <t>Население с режим на водоснабдяване</t>
  </si>
  <si>
    <t xml:space="preserve">    сезонен (под 180 дни)</t>
  </si>
  <si>
    <t xml:space="preserve">    целогодишен (над 180 дни)</t>
  </si>
  <si>
    <t xml:space="preserve">    Първично пречистване</t>
  </si>
  <si>
    <t xml:space="preserve">    Вторично пречистване</t>
  </si>
  <si>
    <t>Население с обществена канализация, без пречистване</t>
  </si>
  <si>
    <t>Общо население с пречистване на отпадъчни води</t>
  </si>
  <si>
    <t>Население с обществена канализация, общо</t>
  </si>
  <si>
    <t>Население, свързано с обществена канализация без пречистване</t>
  </si>
  <si>
    <t>Население, свързано с обществена канализация, общо</t>
  </si>
  <si>
    <t>в т.ч. с поне  вторично третиране</t>
  </si>
  <si>
    <t>Северна и Югоизточна България</t>
  </si>
  <si>
    <t>Северозападен</t>
  </si>
  <si>
    <t>Видин</t>
  </si>
  <si>
    <t>Враца</t>
  </si>
  <si>
    <t>Ловеч</t>
  </si>
  <si>
    <t>Монтана</t>
  </si>
  <si>
    <t>Плевен</t>
  </si>
  <si>
    <t>Северен централен</t>
  </si>
  <si>
    <t>Велико Търново</t>
  </si>
  <si>
    <t>Габрово</t>
  </si>
  <si>
    <t>Разград</t>
  </si>
  <si>
    <t>Русе</t>
  </si>
  <si>
    <t>Силистра</t>
  </si>
  <si>
    <t>Североизточен</t>
  </si>
  <si>
    <t>Варна</t>
  </si>
  <si>
    <t>Добрич</t>
  </si>
  <si>
    <t>Търговище</t>
  </si>
  <si>
    <t>Шумен</t>
  </si>
  <si>
    <t>Югоизточен</t>
  </si>
  <si>
    <t>Бургас</t>
  </si>
  <si>
    <t>Сливен</t>
  </si>
  <si>
    <t>Стара Загора</t>
  </si>
  <si>
    <t>Ямбол</t>
  </si>
  <si>
    <t>Югозападна и Южна Централна България</t>
  </si>
  <si>
    <t>Югозападен</t>
  </si>
  <si>
    <t>Благоевград</t>
  </si>
  <si>
    <t>Кюстендил</t>
  </si>
  <si>
    <t>Перник</t>
  </si>
  <si>
    <t xml:space="preserve">София </t>
  </si>
  <si>
    <t>София (столица)</t>
  </si>
  <si>
    <t>Южен централен</t>
  </si>
  <si>
    <t>Кърджали</t>
  </si>
  <si>
    <t>Пазарджик</t>
  </si>
  <si>
    <t>Пловдив</t>
  </si>
  <si>
    <t>Смолян</t>
  </si>
  <si>
    <t>Хасково</t>
  </si>
  <si>
    <t>България</t>
  </si>
  <si>
    <t>в т.ч. с поне вторично пречистване</t>
  </si>
  <si>
    <t>Население, свързано с обществена канализация</t>
  </si>
  <si>
    <t>Дунавски район</t>
  </si>
  <si>
    <t>Население, свързано с пречиствателни станции за отпадъчни води</t>
  </si>
  <si>
    <t>Черноморски район</t>
  </si>
  <si>
    <t>Източнобеломорски район</t>
  </si>
  <si>
    <t>Западнобеломорски район</t>
  </si>
  <si>
    <t>(Процент)</t>
  </si>
  <si>
    <t>Райони за басейново управление на водите</t>
  </si>
  <si>
    <t xml:space="preserve">   Допречистване след вторичното</t>
  </si>
  <si>
    <t>Статистически зони                                                       Статистически райони                                                      Области</t>
  </si>
  <si>
    <r>
      <t>Население с режим на водоснабдяване</t>
    </r>
    <r>
      <rPr>
        <vertAlign val="superscript"/>
        <sz val="8"/>
        <rFont val="Tahoma"/>
        <family val="2"/>
        <charset val="204"/>
      </rPr>
      <t>2</t>
    </r>
  </si>
  <si>
    <r>
      <t>Население, свързано с пречиствателни станции за отпадъчни води</t>
    </r>
    <r>
      <rPr>
        <vertAlign val="superscript"/>
        <sz val="8"/>
        <rFont val="Tahoma"/>
        <family val="2"/>
        <charset val="204"/>
      </rPr>
      <t>3</t>
    </r>
  </si>
  <si>
    <r>
      <t>Население със собствено третиране на отпадъчни води</t>
    </r>
    <r>
      <rPr>
        <vertAlign val="superscript"/>
        <sz val="8"/>
        <rFont val="Tahoma"/>
        <family val="2"/>
        <charset val="204"/>
      </rPr>
      <t>4</t>
    </r>
  </si>
  <si>
    <r>
      <t>9.8.2.ОТНОСИТЕЛЕН ДЯЛ НА НАСЕЛЕНИЕТО С ВОДНИ УСЛУГИ ПО СТАТИСТИЧЕСКИ РАЙОНИ И ОБЛАСТИ (%)</t>
    </r>
    <r>
      <rPr>
        <b/>
        <vertAlign val="superscript"/>
        <sz val="11"/>
        <rFont val="Tahoma"/>
        <family val="2"/>
        <charset val="204"/>
      </rPr>
      <t>1,2,3</t>
    </r>
  </si>
  <si>
    <r>
      <t>9.8.3.ОТНОСИТЕЛЕН ДЯЛ НА НАСЕЛЕНИЕТО С ВОДНИ УСЛУГИ ПО РАЙОНИ ЗА БАСЕЙНОВО УПРАВЛЕНИЕ НА ВОДИТЕ</t>
    </r>
    <r>
      <rPr>
        <b/>
        <vertAlign val="superscript"/>
        <sz val="11"/>
        <rFont val="Tahoma"/>
        <family val="2"/>
        <charset val="204"/>
      </rPr>
      <t>1,2,3</t>
    </r>
  </si>
  <si>
    <r>
      <t>Население свързано с пречиствателни станции за отпадъчни води, общо</t>
    </r>
    <r>
      <rPr>
        <vertAlign val="superscript"/>
        <sz val="8"/>
        <rFont val="Tahoma"/>
        <family val="2"/>
        <charset val="204"/>
      </rPr>
      <t>3</t>
    </r>
  </si>
  <si>
    <r>
      <t>Население на режим на водоснабдяване</t>
    </r>
    <r>
      <rPr>
        <vertAlign val="superscript"/>
        <sz val="8"/>
        <rFont val="Tahoma"/>
        <family val="2"/>
        <charset val="204"/>
      </rPr>
      <t>2</t>
    </r>
  </si>
  <si>
    <r>
      <t xml:space="preserve">1 </t>
    </r>
    <r>
      <rPr>
        <sz val="8"/>
        <rFont val="Tahoma"/>
        <family val="2"/>
        <charset val="204"/>
      </rPr>
      <t xml:space="preserve">Източник на данни: НСИ - годишно статистическо наблюдение Обществено восдоснабдяване, канализация и пречистване. Използвани са и данни от общинските администрации. Възможно е процентът на населението да бъде надценен за селища с частично изградена водопроводна/ канализационна мрежа, частична свързаност към пречиствателни станции за отпадъчни води.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"/>
        <rFont val="Tahoma"/>
        <family val="2"/>
        <charset val="204"/>
      </rPr>
      <t xml:space="preserve">
</t>
    </r>
    <r>
      <rPr>
        <vertAlign val="superscript"/>
        <sz val="8"/>
        <rFont val="Tahoma"/>
        <family val="2"/>
        <charset val="204"/>
      </rPr>
      <t/>
    </r>
  </si>
  <si>
    <r>
      <rPr>
        <vertAlign val="superscript"/>
        <sz val="8"/>
        <rFont val="Tahoma"/>
        <family val="2"/>
        <charset val="204"/>
      </rPr>
      <t>2</t>
    </r>
    <r>
      <rPr>
        <sz val="8"/>
        <rFont val="Tahoma"/>
        <family val="2"/>
        <charset val="204"/>
      </rPr>
      <t xml:space="preserve"> Население с режим на водоснабдяване - изчислява се, като дял от свързаното население с обществено водоснабдяване. Показателят обхваща населението на режим на водоснабдяване поради засушаване (недостиг на вода). </t>
    </r>
  </si>
  <si>
    <r>
      <t xml:space="preserve">1 </t>
    </r>
    <r>
      <rPr>
        <sz val="8"/>
        <rFont val="Tahoma"/>
        <family val="2"/>
        <charset val="204"/>
      </rPr>
      <t xml:space="preserve">Източник на данни: НСИ - годишно статистическо наблюдение Обществено водоснабдяване, канализация и пречистване. Използвани са и данни от общинските администрации. Възможно е процентът на населението да бъде надценен за селища с частично изградена водопроводна/ канализационна мрежа, частична свързаност към пречиствателни станции за отпадъчни води.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"/>
        <rFont val="Tahoma"/>
        <family val="2"/>
        <charset val="204"/>
      </rPr>
      <t xml:space="preserve">
</t>
    </r>
    <r>
      <rPr>
        <vertAlign val="superscript"/>
        <sz val="8"/>
        <rFont val="Tahoma"/>
        <family val="2"/>
        <charset val="204"/>
      </rPr>
      <t/>
    </r>
  </si>
  <si>
    <r>
      <rPr>
        <vertAlign val="superscript"/>
        <sz val="8"/>
        <rFont val="Tahoma"/>
        <family val="2"/>
        <charset val="204"/>
      </rPr>
      <t>3</t>
    </r>
    <r>
      <rPr>
        <sz val="8"/>
        <rFont val="Tahoma"/>
        <family val="2"/>
        <charset val="204"/>
      </rPr>
      <t xml:space="preserve"> Включени са пречиствателни станции (селищни и други), пречистващи битови отпадъчни води от населените места. Печиствателните станции за отпадъчни води (ПСОВ) са класифицирани според наличната технология на пречистване. Не е включено населението, извозващо периодично отпадъчни води в ПСОВ с цистерни.</t>
    </r>
  </si>
  <si>
    <r>
      <t xml:space="preserve">1 </t>
    </r>
    <r>
      <rPr>
        <sz val="8"/>
        <rFont val="Tahoma"/>
        <family val="2"/>
        <charset val="204"/>
      </rPr>
      <t xml:space="preserve">Източник на данни: НСИ - годишно статистическо наблюдение Обществено водоснабдяване, канализация и пречисване. Използвани са и данни от общинските администрации. Възможно е процентът на населението да бъде надценен за селища с частично изградена водопроводна/ канализационна мрежа; с частична свързаност към пречиствателни станции за питейни/отпадъчни води.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8"/>
        <rFont val="Tahoma"/>
        <family val="2"/>
        <charset val="204"/>
      </rPr>
      <t xml:space="preserve"> </t>
    </r>
    <r>
      <rPr>
        <vertAlign val="superscript"/>
        <sz val="8"/>
        <rFont val="Tahoma"/>
        <family val="2"/>
        <charset val="204"/>
      </rPr>
      <t/>
    </r>
  </si>
  <si>
    <r>
      <rPr>
        <vertAlign val="superscript"/>
        <sz val="8"/>
        <rFont val="Tahoma"/>
        <family val="2"/>
        <charset val="204"/>
      </rPr>
      <t>3</t>
    </r>
    <r>
      <rPr>
        <sz val="8"/>
        <rFont val="Tahoma"/>
        <family val="2"/>
        <charset val="204"/>
      </rPr>
      <t xml:space="preserve"> СПСОВ са класифицирани според наличната технология на пречистване. Не е включено населението, извозващо периодично отпадъчни води  в ПСОВ с цистерни.</t>
    </r>
  </si>
  <si>
    <r>
      <rPr>
        <vertAlign val="superscript"/>
        <sz val="8"/>
        <rFont val="Tahoma"/>
        <family val="2"/>
        <charset val="204"/>
      </rPr>
      <t>4</t>
    </r>
    <r>
      <rPr>
        <sz val="8"/>
        <rFont val="Tahoma"/>
        <family val="2"/>
        <charset val="204"/>
      </rPr>
      <t xml:space="preserve"> Населението, което използва собствени/независими съоръжения за пречистване (септични ями, изгребни ями и др.), е изчислено като разлика между общото население и населението с обществена канализация.</t>
    </r>
  </si>
  <si>
    <t>2024</t>
  </si>
  <si>
    <r>
      <t>9.8.1. ОТНОСИТЕЛЕН ДЯЛ НА НАСЕЛЕНИЕТО С ВОДНИ УСЛУГИ В БЪЛГАРИЯ</t>
    </r>
    <r>
      <rPr>
        <b/>
        <vertAlign val="superscript"/>
        <sz val="11"/>
        <rFont val="Tahoma"/>
        <family val="2"/>
        <charset val="204"/>
      </rPr>
      <t>1</t>
    </r>
  </si>
  <si>
    <t>2023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</si>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</sst>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0"/>
  </numFmts>
  <fonts count="19">
    <font>
      <sz val="10"/>
      <name val="Arial"/>
      <charset val="204"/>
    </font>
    <font>
      <sz val="10"/>
      <name val="Arial"/>
      <family val="2"/>
      <charset val="204"/>
    </font>
    <font>
      <sz val="10"/>
      <name val="Helv"/>
    </font>
    <font>
      <sz val="8"/>
      <name val="Arial"/>
      <family val="2"/>
      <charset val="204"/>
    </font>
    <font>
      <sz val="8"/>
      <color indexed="8"/>
      <name val="Tahoma"/>
      <family val="2"/>
      <charset val="204"/>
    </font>
    <font>
      <sz val="8"/>
      <name val="Arial"/>
      <family val="2"/>
      <charset val="204"/>
    </font>
    <font>
      <sz val="8"/>
      <name val="Tahoma"/>
      <family val="2"/>
      <charset val="204"/>
    </font>
    <font>
      <vertAlign val="superscript"/>
      <sz val="8"/>
      <name val="Tahoma"/>
      <family val="2"/>
      <charset val="204"/>
    </font>
    <font>
      <sz val="10"/>
      <name val="Tahoma"/>
      <family val="2"/>
      <charset val="204"/>
    </font>
    <font>
      <sz val="10"/>
      <name val="Timok"/>
      <charset val="204"/>
    </font>
    <font>
      <b/>
      <sz val="8"/>
      <color indexed="8"/>
      <name val="Tahoma"/>
      <family val="2"/>
      <charset val="204"/>
    </font>
    <font>
      <b/>
      <sz val="8"/>
      <name val="Tahoma"/>
      <family val="2"/>
      <charset val="204"/>
    </font>
    <font>
      <b/>
      <i/>
      <sz val="8"/>
      <name val="Tahoma"/>
      <family val="2"/>
      <charset val="204"/>
    </font>
    <font>
      <i/>
      <sz val="8"/>
      <name val="Tahoma"/>
      <family val="2"/>
      <charset val="204"/>
    </font>
    <font>
      <sz val="10"/>
      <name val="Times New Roman CYR"/>
      <charset val="204"/>
    </font>
    <font>
      <b/>
      <sz val="11"/>
      <name val="Tahoma"/>
      <family val="2"/>
      <charset val="204"/>
    </font>
    <font>
      <b/>
      <vertAlign val="superscript"/>
      <sz val="11"/>
      <name val="Tahoma"/>
      <family val="2"/>
      <charset val="204"/>
    </font>
    <font>
      <sz val="11"/>
      <color rgb="FF000000"/>
      <name val="Calibri"/>
      <family val="2"/>
      <charset val="204"/>
    </font>
    <font>
      <sz val="8"/>
      <color rgb="FFFF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</borders>
  <cellStyleXfs count="8">
    <xf numFmtId="0" fontId="0" fillId="0" borderId="0"/>
    <xf numFmtId="0" fontId="17" fillId="0" borderId="0"/>
    <xf numFmtId="0" fontId="14" fillId="0" borderId="0"/>
    <xf numFmtId="0" fontId="1" fillId="0" borderId="0"/>
    <xf numFmtId="0" fontId="14" fillId="0" borderId="0"/>
    <xf numFmtId="0" fontId="9" fillId="0" borderId="0"/>
    <xf numFmtId="0" fontId="1" fillId="0" borderId="0"/>
    <xf numFmtId="0" fontId="2" fillId="0" borderId="0"/>
  </cellStyleXfs>
  <cellXfs count="97">
    <xf numFmtId="0" fontId="0" fillId="0" borderId="0" xfId="0"/>
    <xf numFmtId="0" fontId="4" fillId="0" borderId="0" xfId="7" applyFont="1" applyFill="1"/>
    <xf numFmtId="0" fontId="4" fillId="0" borderId="0" xfId="7" applyNumberFormat="1" applyFont="1"/>
    <xf numFmtId="0" fontId="5" fillId="0" borderId="0" xfId="7" applyFont="1" applyFill="1" applyAlignment="1">
      <alignment horizontal="right"/>
    </xf>
    <xf numFmtId="0" fontId="6" fillId="0" borderId="0" xfId="7" applyFont="1"/>
    <xf numFmtId="0" fontId="6" fillId="0" borderId="0" xfId="0" applyFont="1" applyAlignment="1"/>
    <xf numFmtId="0" fontId="8" fillId="0" borderId="0" xfId="0" applyFont="1" applyAlignment="1">
      <alignment wrapText="1"/>
    </xf>
    <xf numFmtId="0" fontId="6" fillId="0" borderId="0" xfId="0" applyFont="1"/>
    <xf numFmtId="1" fontId="10" fillId="0" borderId="1" xfId="3" applyNumberFormat="1" applyFont="1" applyFill="1" applyBorder="1" applyAlignment="1">
      <alignment horizontal="left"/>
    </xf>
    <xf numFmtId="164" fontId="11" fillId="0" borderId="1" xfId="0" applyNumberFormat="1" applyFont="1" applyFill="1" applyBorder="1"/>
    <xf numFmtId="1" fontId="6" fillId="0" borderId="0" xfId="0" applyNumberFormat="1" applyFont="1"/>
    <xf numFmtId="0" fontId="6" fillId="0" borderId="0" xfId="0" applyFont="1" applyFill="1"/>
    <xf numFmtId="2" fontId="6" fillId="0" borderId="0" xfId="0" applyNumberFormat="1" applyFont="1" applyFill="1"/>
    <xf numFmtId="14" fontId="11" fillId="0" borderId="0" xfId="0" applyNumberFormat="1" applyFont="1" applyAlignment="1">
      <alignment vertical="center"/>
    </xf>
    <xf numFmtId="0" fontId="6" fillId="0" borderId="0" xfId="0" applyFont="1" applyBorder="1"/>
    <xf numFmtId="1" fontId="6" fillId="0" borderId="0" xfId="4" applyNumberFormat="1" applyFont="1" applyFill="1" applyAlignme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2" borderId="1" xfId="0" applyNumberFormat="1" applyFont="1" applyFill="1" applyBorder="1" applyAlignment="1">
      <alignment vertical="center"/>
    </xf>
    <xf numFmtId="164" fontId="11" fillId="0" borderId="0" xfId="7" applyNumberFormat="1" applyFont="1" applyFill="1"/>
    <xf numFmtId="0" fontId="6" fillId="0" borderId="0" xfId="7" applyFont="1" applyFill="1" applyAlignment="1">
      <alignment horizontal="right"/>
    </xf>
    <xf numFmtId="0" fontId="6" fillId="2" borderId="2" xfId="7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right"/>
    </xf>
    <xf numFmtId="0" fontId="6" fillId="0" borderId="0" xfId="7" applyFont="1" applyAlignment="1">
      <alignment horizontal="center"/>
    </xf>
    <xf numFmtId="0" fontId="6" fillId="0" borderId="2" xfId="7" applyFont="1" applyBorder="1"/>
    <xf numFmtId="0" fontId="6" fillId="0" borderId="0" xfId="7" applyFont="1" applyFill="1" applyBorder="1"/>
    <xf numFmtId="0" fontId="6" fillId="0" borderId="2" xfId="7" applyFont="1" applyFill="1" applyBorder="1"/>
    <xf numFmtId="164" fontId="6" fillId="0" borderId="2" xfId="7" applyNumberFormat="1" applyFont="1" applyFill="1" applyBorder="1"/>
    <xf numFmtId="0" fontId="6" fillId="0" borderId="0" xfId="7" applyFont="1" applyFill="1"/>
    <xf numFmtId="164" fontId="6" fillId="0" borderId="0" xfId="7" applyNumberFormat="1" applyFont="1" applyBorder="1"/>
    <xf numFmtId="1" fontId="6" fillId="2" borderId="1" xfId="4" applyNumberFormat="1" applyFont="1" applyFill="1" applyBorder="1" applyAlignment="1">
      <alignment horizontal="left" vertical="center"/>
    </xf>
    <xf numFmtId="1" fontId="6" fillId="0" borderId="1" xfId="4" applyNumberFormat="1" applyFont="1" applyFill="1" applyBorder="1" applyAlignment="1"/>
    <xf numFmtId="0" fontId="6" fillId="0" borderId="1" xfId="0" applyFont="1" applyBorder="1" applyAlignment="1"/>
    <xf numFmtId="0" fontId="6" fillId="0" borderId="1" xfId="0" applyFont="1" applyFill="1" applyBorder="1" applyAlignment="1"/>
    <xf numFmtId="0" fontId="15" fillId="0" borderId="0" xfId="7" applyFont="1" applyAlignment="1"/>
    <xf numFmtId="0" fontId="15" fillId="0" borderId="0" xfId="0" applyFont="1" applyAlignment="1">
      <alignment vertical="center"/>
    </xf>
    <xf numFmtId="164" fontId="6" fillId="0" borderId="1" xfId="0" applyNumberFormat="1" applyFont="1" applyBorder="1" applyAlignment="1"/>
    <xf numFmtId="164" fontId="12" fillId="0" borderId="1" xfId="0" applyNumberFormat="1" applyFont="1" applyFill="1" applyBorder="1"/>
    <xf numFmtId="0" fontId="13" fillId="0" borderId="0" xfId="0" applyFont="1" applyFill="1"/>
    <xf numFmtId="164" fontId="11" fillId="0" borderId="1" xfId="2" applyNumberFormat="1" applyFont="1" applyFill="1" applyBorder="1"/>
    <xf numFmtId="164" fontId="6" fillId="0" borderId="1" xfId="0" applyNumberFormat="1" applyFont="1" applyFill="1" applyBorder="1" applyProtection="1">
      <protection locked="0"/>
    </xf>
    <xf numFmtId="164" fontId="6" fillId="0" borderId="1" xfId="0" applyNumberFormat="1" applyFont="1" applyFill="1" applyBorder="1"/>
    <xf numFmtId="0" fontId="6" fillId="0" borderId="0" xfId="0" applyFont="1" applyFill="1" applyAlignment="1"/>
    <xf numFmtId="164" fontId="6" fillId="0" borderId="0" xfId="7" applyNumberFormat="1" applyFont="1" applyFill="1"/>
    <xf numFmtId="1" fontId="11" fillId="2" borderId="4" xfId="0" applyNumberFormat="1" applyFont="1" applyFill="1" applyBorder="1" applyAlignment="1">
      <alignment vertical="center" wrapText="1"/>
    </xf>
    <xf numFmtId="1" fontId="11" fillId="2" borderId="5" xfId="0" applyNumberFormat="1" applyFont="1" applyFill="1" applyBorder="1" applyAlignment="1">
      <alignment vertical="center" wrapText="1"/>
    </xf>
    <xf numFmtId="1" fontId="11" fillId="2" borderId="6" xfId="0" applyNumberFormat="1" applyFont="1" applyFill="1" applyBorder="1" applyAlignment="1">
      <alignment vertical="center" wrapText="1"/>
    </xf>
    <xf numFmtId="1" fontId="6" fillId="2" borderId="7" xfId="0" applyNumberFormat="1" applyFont="1" applyFill="1" applyBorder="1" applyAlignment="1">
      <alignment vertical="center"/>
    </xf>
    <xf numFmtId="164" fontId="6" fillId="0" borderId="8" xfId="0" applyNumberFormat="1" applyFont="1" applyBorder="1" applyAlignment="1"/>
    <xf numFmtId="164" fontId="6" fillId="0" borderId="0" xfId="7" applyNumberFormat="1" applyFont="1"/>
    <xf numFmtId="0" fontId="8" fillId="0" borderId="0" xfId="0" applyFont="1" applyFill="1" applyAlignment="1">
      <alignment vertical="center" wrapText="1"/>
    </xf>
    <xf numFmtId="0" fontId="7" fillId="0" borderId="0" xfId="7" applyFont="1" applyFill="1" applyBorder="1" applyAlignment="1">
      <alignment vertical="top"/>
    </xf>
    <xf numFmtId="164" fontId="11" fillId="0" borderId="0" xfId="0" applyNumberFormat="1" applyFont="1" applyFill="1"/>
    <xf numFmtId="2" fontId="6" fillId="0" borderId="0" xfId="0" applyNumberFormat="1" applyFont="1" applyFill="1" applyBorder="1"/>
    <xf numFmtId="164" fontId="6" fillId="0" borderId="1" xfId="0" applyNumberFormat="1" applyFont="1" applyFill="1" applyBorder="1" applyAlignment="1"/>
    <xf numFmtId="1" fontId="6" fillId="2" borderId="1" xfId="0" quotePrefix="1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top" wrapText="1"/>
    </xf>
    <xf numFmtId="1" fontId="6" fillId="2" borderId="3" xfId="0" quotePrefix="1" applyNumberFormat="1" applyFont="1" applyFill="1" applyBorder="1" applyAlignment="1">
      <alignment horizontal="right"/>
    </xf>
    <xf numFmtId="49" fontId="6" fillId="2" borderId="1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wrapText="1"/>
    </xf>
    <xf numFmtId="49" fontId="6" fillId="2" borderId="3" xfId="0" applyNumberFormat="1" applyFont="1" applyFill="1" applyBorder="1" applyAlignment="1">
      <alignment horizontal="right"/>
    </xf>
    <xf numFmtId="0" fontId="6" fillId="0" borderId="1" xfId="0" applyNumberFormat="1" applyFont="1" applyBorder="1" applyAlignment="1"/>
    <xf numFmtId="165" fontId="6" fillId="0" borderId="0" xfId="0" applyNumberFormat="1" applyFont="1"/>
    <xf numFmtId="0" fontId="6" fillId="0" borderId="0" xfId="7" applyFont="1" applyAlignment="1">
      <alignment horizontal="right"/>
    </xf>
    <xf numFmtId="1" fontId="18" fillId="0" borderId="0" xfId="4" applyNumberFormat="1" applyFont="1" applyFill="1" applyAlignment="1"/>
    <xf numFmtId="0" fontId="18" fillId="0" borderId="0" xfId="7" applyFont="1"/>
    <xf numFmtId="0" fontId="18" fillId="0" borderId="0" xfId="0" applyFont="1"/>
    <xf numFmtId="0" fontId="18" fillId="0" borderId="0" xfId="0" applyFont="1" applyFill="1"/>
    <xf numFmtId="2" fontId="18" fillId="0" borderId="0" xfId="0" applyNumberFormat="1" applyFont="1" applyFill="1"/>
    <xf numFmtId="164" fontId="6" fillId="0" borderId="1" xfId="4" applyNumberFormat="1" applyFont="1" applyFill="1" applyBorder="1" applyAlignment="1"/>
    <xf numFmtId="164" fontId="11" fillId="2" borderId="5" xfId="0" applyNumberFormat="1" applyFont="1" applyFill="1" applyBorder="1" applyAlignment="1">
      <alignment vertical="center" wrapText="1"/>
    </xf>
    <xf numFmtId="164" fontId="6" fillId="0" borderId="2" xfId="7" applyNumberFormat="1" applyFont="1" applyBorder="1"/>
    <xf numFmtId="164" fontId="13" fillId="0" borderId="1" xfId="0" applyNumberFormat="1" applyFont="1" applyFill="1" applyBorder="1"/>
    <xf numFmtId="0" fontId="7" fillId="0" borderId="0" xfId="7" applyFont="1" applyFill="1" applyBorder="1" applyAlignment="1">
      <alignment horizontal="justify" vertical="center" wrapText="1"/>
    </xf>
    <xf numFmtId="0" fontId="6" fillId="0" borderId="0" xfId="7" applyFont="1" applyFill="1" applyBorder="1" applyAlignment="1">
      <alignment horizontal="justify" wrapText="1"/>
    </xf>
    <xf numFmtId="0" fontId="6" fillId="0" borderId="0" xfId="7" applyFont="1" applyAlignment="1">
      <alignment horizontal="justify" wrapText="1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64" fontId="6" fillId="2" borderId="7" xfId="5" applyNumberFormat="1" applyFont="1" applyFill="1" applyBorder="1" applyAlignment="1">
      <alignment horizontal="right" vertical="top" wrapText="1"/>
    </xf>
    <xf numFmtId="164" fontId="6" fillId="2" borderId="8" xfId="5" applyNumberFormat="1" applyFont="1" applyFill="1" applyBorder="1" applyAlignment="1">
      <alignment horizontal="right" vertical="top" wrapText="1"/>
    </xf>
    <xf numFmtId="1" fontId="6" fillId="2" borderId="7" xfId="6" applyNumberFormat="1" applyFont="1" applyFill="1" applyBorder="1" applyAlignment="1">
      <alignment horizontal="left" vertical="center" wrapText="1"/>
    </xf>
    <xf numFmtId="1" fontId="6" fillId="2" borderId="9" xfId="6" applyNumberFormat="1" applyFont="1" applyFill="1" applyBorder="1" applyAlignment="1">
      <alignment horizontal="left" vertical="center" wrapText="1"/>
    </xf>
    <xf numFmtId="1" fontId="6" fillId="2" borderId="8" xfId="6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49" fontId="6" fillId="2" borderId="4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top" wrapText="1"/>
    </xf>
    <xf numFmtId="0" fontId="6" fillId="2" borderId="4" xfId="0" quotePrefix="1" applyFont="1" applyFill="1" applyBorder="1" applyAlignment="1">
      <alignment horizontal="center"/>
    </xf>
    <xf numFmtId="1" fontId="6" fillId="0" borderId="0" xfId="4" applyNumberFormat="1" applyFont="1" applyFill="1" applyAlignment="1">
      <alignment horizontal="justify" wrapText="1"/>
    </xf>
    <xf numFmtId="0" fontId="7" fillId="0" borderId="0" xfId="0" applyFont="1" applyFill="1" applyBorder="1" applyAlignment="1">
      <alignment horizontal="justify" vertical="top" wrapText="1"/>
    </xf>
    <xf numFmtId="1" fontId="18" fillId="0" borderId="0" xfId="4" applyNumberFormat="1" applyFont="1" applyFill="1" applyAlignment="1">
      <alignment horizontal="left"/>
    </xf>
    <xf numFmtId="0" fontId="15" fillId="0" borderId="0" xfId="0" applyFont="1" applyAlignment="1">
      <alignment horizontal="justify" vertical="center" wrapText="1"/>
    </xf>
  </cellXfs>
  <cellStyles count="8">
    <cellStyle name="Normal" xfId="0" builtinId="0"/>
    <cellStyle name="Normal 2" xfId="1"/>
    <cellStyle name="Normal_EKATTE_2005" xfId="2"/>
    <cellStyle name="Normal_INFRASTR_03_08_BAS_final_1" xfId="3"/>
    <cellStyle name="Normal_RAZD4_VK_09" xfId="4"/>
    <cellStyle name="Normal_TBLVDS01" xfId="5"/>
    <cellStyle name="Normal_vds00" xfId="6"/>
    <cellStyle name="Style 1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5"/>
  <sheetViews>
    <sheetView showGridLines="0" tabSelected="1" workbookViewId="0"/>
  </sheetViews>
  <sheetFormatPr defaultColWidth="9.140625" defaultRowHeight="10.5"/>
  <cols>
    <col min="1" max="1" width="51.7109375" style="4" customWidth="1"/>
    <col min="2" max="9" width="10.7109375" style="4" customWidth="1"/>
    <col min="10" max="11" width="9.140625" style="4"/>
    <col min="12" max="12" width="10.7109375" style="30" customWidth="1"/>
    <col min="13" max="13" width="9.140625" style="30"/>
    <col min="14" max="16384" width="9.140625" style="4"/>
  </cols>
  <sheetData>
    <row r="1" spans="1:16" ht="15" customHeight="1"/>
    <row r="2" spans="1:16" s="1" customFormat="1" ht="16.5" customHeight="1">
      <c r="A2" s="36" t="s">
        <v>76</v>
      </c>
      <c r="C2" s="2"/>
    </row>
    <row r="3" spans="1:16" ht="14.1" customHeight="1" thickBot="1">
      <c r="A3" s="21"/>
      <c r="E3" s="22"/>
      <c r="F3" s="22"/>
      <c r="L3" s="22"/>
      <c r="P3" s="65" t="s">
        <v>57</v>
      </c>
    </row>
    <row r="4" spans="1:16" s="25" customFormat="1" ht="14.1" customHeight="1" thickBot="1">
      <c r="A4" s="23"/>
      <c r="B4" s="24">
        <v>2010</v>
      </c>
      <c r="C4" s="24">
        <v>2011</v>
      </c>
      <c r="D4" s="24">
        <v>2012</v>
      </c>
      <c r="E4" s="24">
        <v>2013</v>
      </c>
      <c r="F4" s="24">
        <v>2014</v>
      </c>
      <c r="G4" s="24">
        <v>2015</v>
      </c>
      <c r="H4" s="24">
        <v>2016</v>
      </c>
      <c r="I4" s="24">
        <v>2017</v>
      </c>
      <c r="J4" s="24">
        <v>2018</v>
      </c>
      <c r="K4" s="24">
        <v>2019</v>
      </c>
      <c r="L4" s="24">
        <v>2020</v>
      </c>
      <c r="M4" s="24">
        <v>2021</v>
      </c>
      <c r="N4" s="59" t="s">
        <v>78</v>
      </c>
      <c r="O4" s="62" t="s">
        <v>77</v>
      </c>
      <c r="P4" s="62" t="s">
        <v>75</v>
      </c>
    </row>
    <row r="5" spans="1:16" ht="14.1" customHeight="1" thickBot="1">
      <c r="A5" s="26" t="s">
        <v>0</v>
      </c>
      <c r="B5" s="26">
        <v>99.09</v>
      </c>
      <c r="C5" s="26">
        <v>99.2</v>
      </c>
      <c r="D5" s="26">
        <v>99.26</v>
      </c>
      <c r="E5" s="26">
        <v>99.28</v>
      </c>
      <c r="F5" s="29">
        <v>99.31</v>
      </c>
      <c r="G5" s="29">
        <v>99.33</v>
      </c>
      <c r="H5" s="26">
        <v>99.33</v>
      </c>
      <c r="I5" s="26">
        <v>99.42</v>
      </c>
      <c r="J5" s="29">
        <v>99.51</v>
      </c>
      <c r="K5" s="29">
        <v>99.41</v>
      </c>
      <c r="L5" s="29">
        <v>99.44</v>
      </c>
      <c r="M5" s="29">
        <v>99.42</v>
      </c>
      <c r="N5" s="29">
        <v>99.45</v>
      </c>
      <c r="O5" s="29">
        <v>99.4</v>
      </c>
      <c r="P5" s="29">
        <v>99.49</v>
      </c>
    </row>
    <row r="6" spans="1:16" ht="14.1" customHeight="1" thickBot="1">
      <c r="A6" s="26" t="s">
        <v>1</v>
      </c>
      <c r="B6" s="26">
        <v>46.31</v>
      </c>
      <c r="C6" s="26">
        <v>47.34</v>
      </c>
      <c r="D6" s="26">
        <v>47.6</v>
      </c>
      <c r="E6" s="26">
        <v>47.85</v>
      </c>
      <c r="F6" s="29">
        <v>48.09</v>
      </c>
      <c r="G6" s="29">
        <v>48.27</v>
      </c>
      <c r="H6" s="26">
        <v>48.86</v>
      </c>
      <c r="I6" s="26">
        <v>49.14</v>
      </c>
      <c r="J6" s="29">
        <v>49.39</v>
      </c>
      <c r="K6" s="29">
        <v>49.84</v>
      </c>
      <c r="L6" s="29">
        <v>48.95</v>
      </c>
      <c r="M6" s="29">
        <v>48.96</v>
      </c>
      <c r="N6" s="29">
        <v>49.43</v>
      </c>
      <c r="O6" s="29">
        <v>49.84</v>
      </c>
      <c r="P6" s="29">
        <v>50.09</v>
      </c>
    </row>
    <row r="7" spans="1:16" ht="14.1" customHeight="1" thickBot="1">
      <c r="A7" s="26" t="s">
        <v>61</v>
      </c>
      <c r="B7" s="26">
        <v>0.97</v>
      </c>
      <c r="C7" s="26">
        <v>2.97</v>
      </c>
      <c r="D7" s="26">
        <v>4.49</v>
      </c>
      <c r="E7" s="26">
        <v>2.92</v>
      </c>
      <c r="F7" s="29">
        <v>0.6</v>
      </c>
      <c r="G7" s="29">
        <v>1.74</v>
      </c>
      <c r="H7" s="26">
        <v>2.0699999999999998</v>
      </c>
      <c r="I7" s="73">
        <v>3</v>
      </c>
      <c r="J7" s="29">
        <v>1.07</v>
      </c>
      <c r="K7" s="29">
        <v>5.95</v>
      </c>
      <c r="L7" s="29">
        <v>3.92</v>
      </c>
      <c r="M7" s="29">
        <v>2.98</v>
      </c>
      <c r="N7" s="29">
        <v>2.06</v>
      </c>
      <c r="O7" s="29">
        <v>4.62</v>
      </c>
      <c r="P7" s="29">
        <v>5.77</v>
      </c>
    </row>
    <row r="8" spans="1:16" ht="14.1" customHeight="1" thickBot="1">
      <c r="A8" s="26" t="s">
        <v>3</v>
      </c>
      <c r="B8" s="26">
        <v>0.85</v>
      </c>
      <c r="C8" s="26">
        <v>2.97</v>
      </c>
      <c r="D8" s="26">
        <v>4.2699999999999996</v>
      </c>
      <c r="E8" s="26">
        <v>2.77</v>
      </c>
      <c r="F8" s="29">
        <v>0.45</v>
      </c>
      <c r="G8" s="29">
        <v>1.58</v>
      </c>
      <c r="H8" s="26">
        <v>1.91</v>
      </c>
      <c r="I8" s="26">
        <v>2.8</v>
      </c>
      <c r="J8" s="29">
        <v>0.89</v>
      </c>
      <c r="K8" s="29">
        <v>5.79</v>
      </c>
      <c r="L8" s="29">
        <v>3.26</v>
      </c>
      <c r="M8" s="29">
        <v>2.2000000000000002</v>
      </c>
      <c r="N8" s="29">
        <v>1.63</v>
      </c>
      <c r="O8" s="29">
        <v>3.82</v>
      </c>
      <c r="P8" s="29">
        <v>5.0199999999999996</v>
      </c>
    </row>
    <row r="9" spans="1:16" ht="14.1" customHeight="1" thickBot="1">
      <c r="A9" s="26" t="s">
        <v>4</v>
      </c>
      <c r="B9" s="26">
        <v>0.12</v>
      </c>
      <c r="C9" s="73">
        <v>0</v>
      </c>
      <c r="D9" s="26">
        <v>0.23</v>
      </c>
      <c r="E9" s="26">
        <v>0.16</v>
      </c>
      <c r="F9" s="29">
        <v>0.15</v>
      </c>
      <c r="G9" s="29">
        <v>0.16</v>
      </c>
      <c r="H9" s="26">
        <v>0.16</v>
      </c>
      <c r="I9" s="26">
        <v>0.19</v>
      </c>
      <c r="J9" s="29">
        <v>0.18</v>
      </c>
      <c r="K9" s="29">
        <v>0.15</v>
      </c>
      <c r="L9" s="29">
        <v>0.66</v>
      </c>
      <c r="M9" s="29">
        <v>0.78</v>
      </c>
      <c r="N9" s="29">
        <v>0.43</v>
      </c>
      <c r="O9" s="29">
        <v>0.81</v>
      </c>
      <c r="P9" s="29">
        <v>0.75</v>
      </c>
    </row>
    <row r="10" spans="1:16" ht="14.1" customHeight="1" thickBot="1">
      <c r="A10" s="26"/>
      <c r="B10" s="26"/>
      <c r="C10" s="26"/>
      <c r="D10" s="26"/>
      <c r="E10" s="26"/>
      <c r="F10" s="29"/>
      <c r="G10" s="29"/>
      <c r="H10" s="26"/>
      <c r="I10" s="26"/>
      <c r="J10" s="29"/>
      <c r="K10" s="29"/>
      <c r="L10" s="29"/>
      <c r="M10" s="29"/>
      <c r="N10" s="29"/>
      <c r="O10" s="29"/>
      <c r="P10" s="29"/>
    </row>
    <row r="11" spans="1:16" ht="14.1" customHeight="1" thickBot="1">
      <c r="A11" s="26" t="s">
        <v>62</v>
      </c>
      <c r="B11" s="26">
        <v>47.76</v>
      </c>
      <c r="C11" s="26">
        <v>55.8</v>
      </c>
      <c r="D11" s="26">
        <v>56.06</v>
      </c>
      <c r="E11" s="26">
        <v>56.44</v>
      </c>
      <c r="F11" s="29">
        <v>56.76</v>
      </c>
      <c r="G11" s="29">
        <v>62.3</v>
      </c>
      <c r="H11" s="26">
        <v>63.14</v>
      </c>
      <c r="I11" s="26">
        <v>63.42</v>
      </c>
      <c r="J11" s="29">
        <v>63.92</v>
      </c>
      <c r="K11" s="29">
        <v>64.61</v>
      </c>
      <c r="L11" s="29">
        <v>66.650000000000006</v>
      </c>
      <c r="M11" s="29">
        <v>66.790000000000006</v>
      </c>
      <c r="N11" s="29">
        <v>67.168999999999997</v>
      </c>
      <c r="O11" s="29">
        <v>67.37</v>
      </c>
      <c r="P11" s="29">
        <v>67.569999999999993</v>
      </c>
    </row>
    <row r="12" spans="1:16" ht="14.1" customHeight="1" thickBot="1">
      <c r="A12" s="26" t="s">
        <v>5</v>
      </c>
      <c r="B12" s="26">
        <v>2.65</v>
      </c>
      <c r="C12" s="26">
        <v>2.17</v>
      </c>
      <c r="D12" s="26">
        <v>2.17</v>
      </c>
      <c r="E12" s="26">
        <v>1.9</v>
      </c>
      <c r="F12" s="29">
        <v>1.99</v>
      </c>
      <c r="G12" s="29">
        <v>1.67</v>
      </c>
      <c r="H12" s="26">
        <v>1.3</v>
      </c>
      <c r="I12" s="26">
        <v>0.23</v>
      </c>
      <c r="J12" s="29">
        <v>0.21</v>
      </c>
      <c r="K12" s="29">
        <v>0.1</v>
      </c>
      <c r="L12" s="29">
        <v>1.6</v>
      </c>
      <c r="M12" s="29">
        <v>1.49</v>
      </c>
      <c r="N12" s="29">
        <v>0.13900000000000001</v>
      </c>
      <c r="O12" s="29">
        <v>0.13700000000000001</v>
      </c>
      <c r="P12" s="29">
        <v>0.11</v>
      </c>
    </row>
    <row r="13" spans="1:16" ht="14.1" customHeight="1" thickBot="1">
      <c r="A13" s="26" t="s">
        <v>6</v>
      </c>
      <c r="B13" s="26">
        <v>18.34</v>
      </c>
      <c r="C13" s="26">
        <v>19.170000000000002</v>
      </c>
      <c r="D13" s="26">
        <v>19.21</v>
      </c>
      <c r="E13" s="26">
        <v>19.25</v>
      </c>
      <c r="F13" s="29">
        <v>20.36</v>
      </c>
      <c r="G13" s="29">
        <v>16.86</v>
      </c>
      <c r="H13" s="26">
        <v>17.16</v>
      </c>
      <c r="I13" s="26">
        <v>16.149999999999999</v>
      </c>
      <c r="J13" s="29">
        <v>16.36</v>
      </c>
      <c r="K13" s="29">
        <v>15.12</v>
      </c>
      <c r="L13" s="29">
        <v>13.57</v>
      </c>
      <c r="M13" s="29">
        <v>13.22</v>
      </c>
      <c r="N13" s="29">
        <v>14.477</v>
      </c>
      <c r="O13" s="29">
        <v>13.353999999999999</v>
      </c>
      <c r="P13" s="29">
        <v>10.029999999999999</v>
      </c>
    </row>
    <row r="14" spans="1:16" ht="14.1" customHeight="1" thickBot="1">
      <c r="A14" s="26" t="s">
        <v>59</v>
      </c>
      <c r="B14" s="26">
        <v>26.76</v>
      </c>
      <c r="C14" s="26">
        <v>34.46</v>
      </c>
      <c r="D14" s="26">
        <v>34.69</v>
      </c>
      <c r="E14" s="26">
        <v>35.29</v>
      </c>
      <c r="F14" s="29">
        <v>34.409999999999997</v>
      </c>
      <c r="G14" s="29">
        <v>43.77</v>
      </c>
      <c r="H14" s="26">
        <v>44.68</v>
      </c>
      <c r="I14" s="26">
        <v>47.04</v>
      </c>
      <c r="J14" s="29">
        <v>47.36</v>
      </c>
      <c r="K14" s="29">
        <v>49.39</v>
      </c>
      <c r="L14" s="29">
        <v>51.48</v>
      </c>
      <c r="M14" s="29">
        <v>52.08</v>
      </c>
      <c r="N14" s="29">
        <v>52.552</v>
      </c>
      <c r="O14" s="29">
        <v>53.879000000000005</v>
      </c>
      <c r="P14" s="29">
        <v>57.43</v>
      </c>
    </row>
    <row r="15" spans="1:16" ht="14.1" customHeight="1" thickBot="1">
      <c r="A15" s="26" t="s">
        <v>7</v>
      </c>
      <c r="B15" s="26">
        <v>22.86</v>
      </c>
      <c r="C15" s="26">
        <v>18.28</v>
      </c>
      <c r="D15" s="26">
        <v>18.27</v>
      </c>
      <c r="E15" s="26">
        <v>18.260000000000002</v>
      </c>
      <c r="F15" s="29">
        <v>18.12</v>
      </c>
      <c r="G15" s="29">
        <v>13.2</v>
      </c>
      <c r="H15" s="26">
        <v>12.55</v>
      </c>
      <c r="I15" s="26">
        <v>12.61</v>
      </c>
      <c r="J15" s="29">
        <v>12.27</v>
      </c>
      <c r="K15" s="29">
        <v>11.81</v>
      </c>
      <c r="L15" s="29">
        <v>9.6</v>
      </c>
      <c r="M15" s="29">
        <v>8.01</v>
      </c>
      <c r="N15" s="29">
        <v>7.855000000000004</v>
      </c>
      <c r="O15" s="29">
        <v>7.7920000000000016</v>
      </c>
      <c r="P15" s="29">
        <f>P16-P11</f>
        <v>7.8700000000000045</v>
      </c>
    </row>
    <row r="16" spans="1:16" ht="14.1" customHeight="1" thickBot="1">
      <c r="A16" s="28" t="s">
        <v>9</v>
      </c>
      <c r="B16" s="28">
        <v>70.62</v>
      </c>
      <c r="C16" s="28">
        <v>74.09</v>
      </c>
      <c r="D16" s="28">
        <v>74.33</v>
      </c>
      <c r="E16" s="28">
        <v>74.7</v>
      </c>
      <c r="F16" s="29">
        <v>74.88</v>
      </c>
      <c r="G16" s="29">
        <v>75.5</v>
      </c>
      <c r="H16" s="28">
        <v>75.69</v>
      </c>
      <c r="I16" s="28">
        <v>76.03</v>
      </c>
      <c r="J16" s="29">
        <v>76.19</v>
      </c>
      <c r="K16" s="29">
        <v>76.42</v>
      </c>
      <c r="L16" s="29">
        <v>76.25</v>
      </c>
      <c r="M16" s="29">
        <v>74.790000000000006</v>
      </c>
      <c r="N16" s="29">
        <v>75.024000000000001</v>
      </c>
      <c r="O16" s="29">
        <v>75.162000000000006</v>
      </c>
      <c r="P16" s="29">
        <v>75.44</v>
      </c>
    </row>
    <row r="17" spans="1:18" ht="14.1" customHeight="1" thickBot="1">
      <c r="A17" s="26"/>
      <c r="B17" s="26"/>
      <c r="C17" s="26"/>
      <c r="D17" s="26"/>
      <c r="E17" s="26"/>
      <c r="F17" s="29"/>
      <c r="G17" s="29"/>
      <c r="H17" s="26"/>
      <c r="I17" s="26"/>
      <c r="J17" s="29"/>
      <c r="K17" s="29"/>
      <c r="L17" s="29"/>
      <c r="M17" s="29"/>
      <c r="N17" s="29"/>
      <c r="O17" s="29"/>
      <c r="P17" s="29"/>
      <c r="R17" s="51"/>
    </row>
    <row r="18" spans="1:18" s="30" customFormat="1" ht="14.1" customHeight="1" thickBot="1">
      <c r="A18" s="28" t="s">
        <v>63</v>
      </c>
      <c r="B18" s="28">
        <v>29.38</v>
      </c>
      <c r="C18" s="28">
        <v>25.91</v>
      </c>
      <c r="D18" s="28">
        <v>25.67</v>
      </c>
      <c r="E18" s="28">
        <v>25.3</v>
      </c>
      <c r="F18" s="29">
        <v>25.12</v>
      </c>
      <c r="G18" s="29">
        <v>24.5</v>
      </c>
      <c r="H18" s="28">
        <v>24.31</v>
      </c>
      <c r="I18" s="28">
        <v>23.97</v>
      </c>
      <c r="J18" s="29">
        <v>23.81</v>
      </c>
      <c r="K18" s="29">
        <v>23.58</v>
      </c>
      <c r="L18" s="29">
        <v>23.75</v>
      </c>
      <c r="M18" s="29">
        <v>25.209999999999994</v>
      </c>
      <c r="N18" s="29">
        <v>24.975999999999999</v>
      </c>
      <c r="O18" s="29">
        <v>24.837999999999994</v>
      </c>
      <c r="P18" s="29">
        <f>100-P16</f>
        <v>24.560000000000002</v>
      </c>
    </row>
    <row r="19" spans="1:18" ht="14.1" customHeight="1" thickBot="1">
      <c r="A19" s="28" t="s">
        <v>8</v>
      </c>
      <c r="B19" s="28">
        <v>77.14</v>
      </c>
      <c r="C19" s="28">
        <v>81.72</v>
      </c>
      <c r="D19" s="28">
        <v>81.73</v>
      </c>
      <c r="E19" s="28">
        <v>81.739999999999995</v>
      </c>
      <c r="F19" s="29">
        <v>81.88</v>
      </c>
      <c r="G19" s="29">
        <v>86.8</v>
      </c>
      <c r="H19" s="28">
        <v>87.45</v>
      </c>
      <c r="I19" s="28">
        <v>87.39</v>
      </c>
      <c r="J19" s="29">
        <v>87.73</v>
      </c>
      <c r="K19" s="29">
        <v>88.19</v>
      </c>
      <c r="L19" s="29">
        <v>90.4</v>
      </c>
      <c r="M19" s="29">
        <v>92</v>
      </c>
      <c r="N19" s="29">
        <v>92.144999999999996</v>
      </c>
      <c r="O19" s="29">
        <v>92.207999999999998</v>
      </c>
      <c r="P19" s="29">
        <f>P18+P11</f>
        <v>92.13</v>
      </c>
    </row>
    <row r="20" spans="1:18" ht="14.1" customHeight="1">
      <c r="A20" s="27"/>
      <c r="B20" s="31"/>
      <c r="C20" s="31"/>
      <c r="D20" s="31"/>
      <c r="E20" s="27"/>
      <c r="F20" s="27"/>
      <c r="G20" s="27"/>
      <c r="H20" s="27"/>
      <c r="I20" s="27"/>
      <c r="J20" s="27"/>
    </row>
    <row r="21" spans="1:18" ht="41.25" customHeight="1">
      <c r="A21" s="75" t="s">
        <v>72</v>
      </c>
      <c r="B21" s="75"/>
      <c r="C21" s="75"/>
      <c r="D21" s="75"/>
      <c r="E21" s="75"/>
      <c r="F21" s="75"/>
      <c r="G21" s="53"/>
      <c r="H21" s="53"/>
      <c r="I21" s="53"/>
      <c r="L21" s="45"/>
      <c r="M21" s="45"/>
    </row>
    <row r="22" spans="1:18" ht="21.75" customHeight="1">
      <c r="A22" s="76" t="s">
        <v>69</v>
      </c>
      <c r="B22" s="76"/>
      <c r="C22" s="76"/>
      <c r="D22" s="76"/>
      <c r="E22" s="76"/>
      <c r="F22" s="76"/>
      <c r="G22" s="53"/>
      <c r="H22" s="53"/>
      <c r="I22" s="53"/>
    </row>
    <row r="23" spans="1:18" ht="23.25" customHeight="1">
      <c r="A23" s="77" t="s">
        <v>73</v>
      </c>
      <c r="B23" s="77"/>
      <c r="C23" s="77"/>
      <c r="D23" s="77"/>
      <c r="E23" s="77"/>
      <c r="F23" s="77"/>
      <c r="L23" s="45"/>
      <c r="M23" s="45"/>
    </row>
    <row r="24" spans="1:18" ht="24" customHeight="1">
      <c r="A24" s="77" t="s">
        <v>74</v>
      </c>
      <c r="B24" s="77"/>
      <c r="C24" s="77"/>
      <c r="D24" s="77"/>
      <c r="E24" s="77"/>
      <c r="F24" s="77"/>
    </row>
    <row r="25" spans="1:18" ht="13.5" customHeight="1"/>
  </sheetData>
  <mergeCells count="4">
    <mergeCell ref="A21:F21"/>
    <mergeCell ref="A22:F22"/>
    <mergeCell ref="A23:F23"/>
    <mergeCell ref="A24:F2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N50"/>
  <sheetViews>
    <sheetView showGridLines="0" workbookViewId="0">
      <pane xSplit="1" ySplit="6" topLeftCell="BS7" activePane="bottomRight" state="frozen"/>
      <selection pane="topRight" activeCell="B1" sqref="B1"/>
      <selection pane="bottomLeft" activeCell="A7" sqref="A7"/>
      <selection pane="bottomRight"/>
    </sheetView>
  </sheetViews>
  <sheetFormatPr defaultColWidth="9.140625" defaultRowHeight="10.5"/>
  <cols>
    <col min="1" max="1" width="60.85546875" style="7" customWidth="1"/>
    <col min="2" max="2" width="11.42578125" style="7" customWidth="1"/>
    <col min="3" max="3" width="11.42578125" style="11" customWidth="1"/>
    <col min="4" max="24" width="11.42578125" style="7" customWidth="1"/>
    <col min="25" max="25" width="11.42578125" style="11" customWidth="1"/>
    <col min="26" max="57" width="11.42578125" style="7" customWidth="1"/>
    <col min="58" max="67" width="11.42578125" style="11" customWidth="1"/>
    <col min="68" max="16384" width="9.140625" style="7"/>
  </cols>
  <sheetData>
    <row r="1" spans="1:92" ht="13.15" customHeight="1"/>
    <row r="2" spans="1:92" s="5" customFormat="1" ht="21" customHeight="1">
      <c r="A2" s="37" t="s">
        <v>64</v>
      </c>
      <c r="C2" s="44"/>
      <c r="Y2" s="44"/>
      <c r="BF2" s="44"/>
      <c r="BG2" s="44"/>
      <c r="BH2" s="44"/>
      <c r="BI2" s="44"/>
      <c r="BJ2" s="44"/>
      <c r="BK2" s="44"/>
      <c r="BL2" s="44"/>
      <c r="BM2" s="44"/>
      <c r="BN2" s="44"/>
      <c r="BO2" s="44"/>
    </row>
    <row r="3" spans="1:92" ht="12.6" customHeight="1" thickBot="1">
      <c r="A3" s="6"/>
      <c r="B3" s="17"/>
      <c r="C3" s="52"/>
      <c r="D3" s="17"/>
      <c r="E3" s="17"/>
      <c r="G3" s="3"/>
      <c r="H3" s="17"/>
      <c r="I3" s="17"/>
      <c r="J3" s="17"/>
      <c r="K3" s="17"/>
      <c r="M3" s="3"/>
      <c r="N3" s="17"/>
      <c r="O3" s="17"/>
      <c r="P3" s="17"/>
      <c r="Q3" s="17"/>
      <c r="S3" s="3"/>
      <c r="T3" s="17"/>
      <c r="U3" s="17"/>
      <c r="V3" s="17"/>
      <c r="W3" s="17"/>
      <c r="Y3" s="3"/>
      <c r="Z3" s="18"/>
      <c r="AA3" s="18"/>
      <c r="AB3" s="18"/>
      <c r="AC3" s="18"/>
      <c r="AD3" s="18"/>
      <c r="AE3" s="22"/>
      <c r="AK3" s="3"/>
      <c r="AQ3" s="11"/>
      <c r="AX3" s="11"/>
      <c r="CM3" s="7" t="s">
        <v>57</v>
      </c>
    </row>
    <row r="4" spans="1:92" ht="13.15" customHeight="1" thickBot="1">
      <c r="A4" s="83" t="s">
        <v>60</v>
      </c>
      <c r="B4" s="78">
        <v>2010</v>
      </c>
      <c r="C4" s="79"/>
      <c r="D4" s="79"/>
      <c r="E4" s="79"/>
      <c r="F4" s="79"/>
      <c r="G4" s="80"/>
      <c r="H4" s="78">
        <v>2011</v>
      </c>
      <c r="I4" s="79"/>
      <c r="J4" s="79"/>
      <c r="K4" s="79"/>
      <c r="L4" s="79"/>
      <c r="M4" s="80"/>
      <c r="N4" s="78">
        <v>2012</v>
      </c>
      <c r="O4" s="79"/>
      <c r="P4" s="79"/>
      <c r="Q4" s="79"/>
      <c r="R4" s="79"/>
      <c r="S4" s="80"/>
      <c r="T4" s="78">
        <v>2013</v>
      </c>
      <c r="U4" s="79"/>
      <c r="V4" s="79"/>
      <c r="W4" s="79"/>
      <c r="X4" s="79"/>
      <c r="Y4" s="80"/>
      <c r="Z4" s="78">
        <v>2014</v>
      </c>
      <c r="AA4" s="79"/>
      <c r="AB4" s="79"/>
      <c r="AC4" s="79"/>
      <c r="AD4" s="79"/>
      <c r="AE4" s="80"/>
      <c r="AF4" s="78">
        <v>2015</v>
      </c>
      <c r="AG4" s="79"/>
      <c r="AH4" s="79"/>
      <c r="AI4" s="79"/>
      <c r="AJ4" s="79"/>
      <c r="AK4" s="80"/>
      <c r="AL4" s="78">
        <v>2016</v>
      </c>
      <c r="AM4" s="79"/>
      <c r="AN4" s="79"/>
      <c r="AO4" s="79"/>
      <c r="AP4" s="79"/>
      <c r="AQ4" s="80"/>
      <c r="AR4" s="78">
        <v>2017</v>
      </c>
      <c r="AS4" s="79"/>
      <c r="AT4" s="79"/>
      <c r="AU4" s="79"/>
      <c r="AV4" s="79"/>
      <c r="AW4" s="80"/>
      <c r="AX4" s="78">
        <v>2018</v>
      </c>
      <c r="AY4" s="79"/>
      <c r="AZ4" s="79"/>
      <c r="BA4" s="79"/>
      <c r="BB4" s="79"/>
      <c r="BC4" s="80"/>
      <c r="BD4" s="78">
        <v>2019</v>
      </c>
      <c r="BE4" s="79"/>
      <c r="BF4" s="79"/>
      <c r="BG4" s="79"/>
      <c r="BH4" s="79"/>
      <c r="BI4" s="80"/>
      <c r="BJ4" s="78">
        <v>2020</v>
      </c>
      <c r="BK4" s="79"/>
      <c r="BL4" s="79"/>
      <c r="BM4" s="79"/>
      <c r="BN4" s="79"/>
      <c r="BO4" s="80"/>
      <c r="BP4" s="78">
        <v>2021</v>
      </c>
      <c r="BQ4" s="79"/>
      <c r="BR4" s="79">
        <v>2021</v>
      </c>
      <c r="BS4" s="79"/>
      <c r="BT4" s="79"/>
      <c r="BU4" s="80"/>
      <c r="BV4" s="92" t="s">
        <v>78</v>
      </c>
      <c r="BW4" s="79"/>
      <c r="BX4" s="79">
        <v>2021</v>
      </c>
      <c r="BY4" s="79"/>
      <c r="BZ4" s="79"/>
      <c r="CA4" s="80"/>
      <c r="CB4" s="88" t="s">
        <v>77</v>
      </c>
      <c r="CC4" s="89"/>
      <c r="CD4" s="89">
        <v>2021</v>
      </c>
      <c r="CE4" s="89"/>
      <c r="CF4" s="89"/>
      <c r="CG4" s="90"/>
      <c r="CH4" s="88" t="s">
        <v>75</v>
      </c>
      <c r="CI4" s="89"/>
      <c r="CJ4" s="89">
        <v>2021</v>
      </c>
      <c r="CK4" s="89"/>
      <c r="CL4" s="89"/>
      <c r="CM4" s="90"/>
    </row>
    <row r="5" spans="1:92" ht="27.75" customHeight="1">
      <c r="A5" s="84"/>
      <c r="B5" s="81" t="s">
        <v>0</v>
      </c>
      <c r="C5" s="81" t="s">
        <v>67</v>
      </c>
      <c r="D5" s="81" t="s">
        <v>66</v>
      </c>
      <c r="E5" s="81" t="s">
        <v>12</v>
      </c>
      <c r="F5" s="81" t="s">
        <v>10</v>
      </c>
      <c r="G5" s="81" t="s">
        <v>11</v>
      </c>
      <c r="H5" s="81" t="s">
        <v>0</v>
      </c>
      <c r="I5" s="81" t="s">
        <v>67</v>
      </c>
      <c r="J5" s="81" t="s">
        <v>66</v>
      </c>
      <c r="K5" s="81" t="s">
        <v>12</v>
      </c>
      <c r="L5" s="81" t="s">
        <v>10</v>
      </c>
      <c r="M5" s="81" t="s">
        <v>11</v>
      </c>
      <c r="N5" s="81" t="s">
        <v>0</v>
      </c>
      <c r="O5" s="81" t="s">
        <v>67</v>
      </c>
      <c r="P5" s="81" t="s">
        <v>66</v>
      </c>
      <c r="Q5" s="81" t="s">
        <v>12</v>
      </c>
      <c r="R5" s="81" t="s">
        <v>10</v>
      </c>
      <c r="S5" s="81" t="s">
        <v>11</v>
      </c>
      <c r="T5" s="81" t="s">
        <v>0</v>
      </c>
      <c r="U5" s="81" t="s">
        <v>67</v>
      </c>
      <c r="V5" s="81" t="s">
        <v>66</v>
      </c>
      <c r="W5" s="81" t="s">
        <v>12</v>
      </c>
      <c r="X5" s="81" t="s">
        <v>10</v>
      </c>
      <c r="Y5" s="81" t="s">
        <v>11</v>
      </c>
      <c r="Z5" s="81" t="s">
        <v>0</v>
      </c>
      <c r="AA5" s="81" t="s">
        <v>67</v>
      </c>
      <c r="AB5" s="81" t="s">
        <v>66</v>
      </c>
      <c r="AC5" s="81" t="s">
        <v>12</v>
      </c>
      <c r="AD5" s="81" t="s">
        <v>10</v>
      </c>
      <c r="AE5" s="81" t="s">
        <v>11</v>
      </c>
      <c r="AF5" s="81" t="s">
        <v>0</v>
      </c>
      <c r="AG5" s="81" t="s">
        <v>67</v>
      </c>
      <c r="AH5" s="81" t="s">
        <v>66</v>
      </c>
      <c r="AI5" s="81" t="s">
        <v>12</v>
      </c>
      <c r="AJ5" s="81" t="s">
        <v>10</v>
      </c>
      <c r="AK5" s="81" t="s">
        <v>11</v>
      </c>
      <c r="AL5" s="81" t="s">
        <v>0</v>
      </c>
      <c r="AM5" s="81" t="s">
        <v>67</v>
      </c>
      <c r="AN5" s="81" t="s">
        <v>66</v>
      </c>
      <c r="AO5" s="81" t="s">
        <v>12</v>
      </c>
      <c r="AP5" s="81" t="s">
        <v>10</v>
      </c>
      <c r="AQ5" s="81" t="s">
        <v>11</v>
      </c>
      <c r="AR5" s="81" t="s">
        <v>0</v>
      </c>
      <c r="AS5" s="81" t="s">
        <v>67</v>
      </c>
      <c r="AT5" s="81" t="s">
        <v>66</v>
      </c>
      <c r="AU5" s="81" t="s">
        <v>12</v>
      </c>
      <c r="AV5" s="81" t="s">
        <v>10</v>
      </c>
      <c r="AW5" s="81" t="s">
        <v>11</v>
      </c>
      <c r="AX5" s="81" t="s">
        <v>0</v>
      </c>
      <c r="AY5" s="81" t="s">
        <v>67</v>
      </c>
      <c r="AZ5" s="81" t="s">
        <v>66</v>
      </c>
      <c r="BA5" s="81" t="s">
        <v>12</v>
      </c>
      <c r="BB5" s="81" t="s">
        <v>10</v>
      </c>
      <c r="BC5" s="81" t="s">
        <v>11</v>
      </c>
      <c r="BD5" s="81" t="s">
        <v>0</v>
      </c>
      <c r="BE5" s="81" t="s">
        <v>67</v>
      </c>
      <c r="BF5" s="81" t="s">
        <v>66</v>
      </c>
      <c r="BG5" s="81" t="s">
        <v>12</v>
      </c>
      <c r="BH5" s="81" t="s">
        <v>10</v>
      </c>
      <c r="BI5" s="81" t="s">
        <v>11</v>
      </c>
      <c r="BJ5" s="81" t="s">
        <v>0</v>
      </c>
      <c r="BK5" s="81" t="s">
        <v>67</v>
      </c>
      <c r="BL5" s="81" t="s">
        <v>66</v>
      </c>
      <c r="BM5" s="81" t="s">
        <v>12</v>
      </c>
      <c r="BN5" s="81" t="s">
        <v>10</v>
      </c>
      <c r="BO5" s="81" t="s">
        <v>11</v>
      </c>
      <c r="BP5" s="81" t="s">
        <v>0</v>
      </c>
      <c r="BQ5" s="81" t="s">
        <v>67</v>
      </c>
      <c r="BR5" s="81" t="s">
        <v>66</v>
      </c>
      <c r="BS5" s="81" t="s">
        <v>12</v>
      </c>
      <c r="BT5" s="81" t="s">
        <v>10</v>
      </c>
      <c r="BU5" s="81" t="s">
        <v>11</v>
      </c>
      <c r="BV5" s="81" t="s">
        <v>0</v>
      </c>
      <c r="BW5" s="81" t="s">
        <v>67</v>
      </c>
      <c r="BX5" s="81" t="s">
        <v>66</v>
      </c>
      <c r="BY5" s="81" t="s">
        <v>12</v>
      </c>
      <c r="BZ5" s="81" t="s">
        <v>10</v>
      </c>
      <c r="CA5" s="81" t="s">
        <v>11</v>
      </c>
      <c r="CB5" s="81" t="s">
        <v>0</v>
      </c>
      <c r="CC5" s="81" t="s">
        <v>67</v>
      </c>
      <c r="CD5" s="81" t="s">
        <v>66</v>
      </c>
      <c r="CE5" s="81" t="s">
        <v>12</v>
      </c>
      <c r="CF5" s="81" t="s">
        <v>10</v>
      </c>
      <c r="CG5" s="81" t="s">
        <v>11</v>
      </c>
      <c r="CH5" s="81" t="s">
        <v>0</v>
      </c>
      <c r="CI5" s="81" t="s">
        <v>67</v>
      </c>
      <c r="CJ5" s="81" t="s">
        <v>66</v>
      </c>
      <c r="CK5" s="81" t="s">
        <v>12</v>
      </c>
      <c r="CL5" s="81" t="s">
        <v>10</v>
      </c>
      <c r="CM5" s="81" t="s">
        <v>11</v>
      </c>
    </row>
    <row r="6" spans="1:92" ht="48.75" customHeight="1" thickBot="1">
      <c r="A6" s="85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</row>
    <row r="7" spans="1:92" s="10" customFormat="1" ht="15.6" customHeight="1" thickBot="1">
      <c r="A7" s="8" t="s">
        <v>49</v>
      </c>
      <c r="B7" s="9">
        <v>99.09</v>
      </c>
      <c r="C7" s="9">
        <v>0.98</v>
      </c>
      <c r="D7" s="9">
        <v>47.76</v>
      </c>
      <c r="E7" s="9">
        <v>45.1</v>
      </c>
      <c r="F7" s="9">
        <v>22.86</v>
      </c>
      <c r="G7" s="9">
        <v>70.62</v>
      </c>
      <c r="H7" s="9">
        <v>99.2</v>
      </c>
      <c r="I7" s="9">
        <v>2.97</v>
      </c>
      <c r="J7" s="9">
        <v>55.8</v>
      </c>
      <c r="K7" s="9">
        <v>53.63</v>
      </c>
      <c r="L7" s="9">
        <v>18.28</v>
      </c>
      <c r="M7" s="9">
        <v>74.09</v>
      </c>
      <c r="N7" s="9">
        <v>99.26</v>
      </c>
      <c r="O7" s="9">
        <v>4.49</v>
      </c>
      <c r="P7" s="9">
        <v>56.06</v>
      </c>
      <c r="Q7" s="9">
        <v>53.89</v>
      </c>
      <c r="R7" s="9">
        <v>18.27</v>
      </c>
      <c r="S7" s="9">
        <v>74.33</v>
      </c>
      <c r="T7" s="9">
        <v>99.28</v>
      </c>
      <c r="U7" s="9">
        <v>2.92</v>
      </c>
      <c r="V7" s="9">
        <v>56.44</v>
      </c>
      <c r="W7" s="9">
        <v>54.54</v>
      </c>
      <c r="X7" s="9">
        <v>18.260000000000002</v>
      </c>
      <c r="Y7" s="9">
        <v>74.7</v>
      </c>
      <c r="Z7" s="9">
        <v>99.31</v>
      </c>
      <c r="AA7" s="9">
        <v>0.6</v>
      </c>
      <c r="AB7" s="9">
        <v>56.76</v>
      </c>
      <c r="AC7" s="9">
        <v>54.77</v>
      </c>
      <c r="AD7" s="9">
        <v>18.12</v>
      </c>
      <c r="AE7" s="9">
        <v>74.88</v>
      </c>
      <c r="AF7" s="9">
        <v>99.33</v>
      </c>
      <c r="AG7" s="9">
        <v>1.74</v>
      </c>
      <c r="AH7" s="9">
        <v>62.3</v>
      </c>
      <c r="AI7" s="9">
        <v>60.62</v>
      </c>
      <c r="AJ7" s="9">
        <v>13.200000000000003</v>
      </c>
      <c r="AK7" s="9">
        <v>75.5</v>
      </c>
      <c r="AL7" s="9">
        <v>99.33</v>
      </c>
      <c r="AM7" s="9">
        <v>2.0699999999999998</v>
      </c>
      <c r="AN7" s="9">
        <v>63.14</v>
      </c>
      <c r="AO7" s="9">
        <v>61.85</v>
      </c>
      <c r="AP7" s="9">
        <v>12.55</v>
      </c>
      <c r="AQ7" s="9">
        <v>75.69</v>
      </c>
      <c r="AR7" s="9">
        <v>99.42</v>
      </c>
      <c r="AS7" s="9">
        <v>2.99</v>
      </c>
      <c r="AT7" s="9">
        <v>63.42</v>
      </c>
      <c r="AU7" s="9">
        <v>63.19</v>
      </c>
      <c r="AV7" s="9">
        <v>12.61</v>
      </c>
      <c r="AW7" s="9">
        <v>76.03</v>
      </c>
      <c r="AX7" s="9">
        <v>99.51</v>
      </c>
      <c r="AY7" s="9">
        <v>1.07</v>
      </c>
      <c r="AZ7" s="9">
        <v>63.92</v>
      </c>
      <c r="BA7" s="9">
        <v>63.72</v>
      </c>
      <c r="BB7" s="9">
        <v>12.27</v>
      </c>
      <c r="BC7" s="9">
        <v>76.19</v>
      </c>
      <c r="BD7" s="9">
        <v>99.41</v>
      </c>
      <c r="BE7" s="9">
        <v>5.95</v>
      </c>
      <c r="BF7" s="9">
        <v>64.61</v>
      </c>
      <c r="BG7" s="9">
        <v>64.510000000000005</v>
      </c>
      <c r="BH7" s="9">
        <v>11.81</v>
      </c>
      <c r="BI7" s="9">
        <v>76.42</v>
      </c>
      <c r="BJ7" s="9">
        <v>99.44</v>
      </c>
      <c r="BK7" s="9">
        <v>3.92</v>
      </c>
      <c r="BL7" s="9">
        <v>66.650000000000006</v>
      </c>
      <c r="BM7" s="9">
        <v>65.05</v>
      </c>
      <c r="BN7" s="9">
        <v>9.6</v>
      </c>
      <c r="BO7" s="9">
        <v>76.25</v>
      </c>
      <c r="BP7" s="9">
        <v>99.42</v>
      </c>
      <c r="BQ7" s="9">
        <v>2.98</v>
      </c>
      <c r="BR7" s="9">
        <v>66.790000000000006</v>
      </c>
      <c r="BS7" s="9">
        <v>65.61</v>
      </c>
      <c r="BT7" s="9">
        <v>8.01</v>
      </c>
      <c r="BU7" s="9">
        <v>74.790000000000006</v>
      </c>
      <c r="BV7" s="9">
        <v>99.45</v>
      </c>
      <c r="BW7" s="9">
        <v>2.06</v>
      </c>
      <c r="BX7" s="9">
        <v>67.17</v>
      </c>
      <c r="BY7" s="9">
        <v>67.03</v>
      </c>
      <c r="BZ7" s="9">
        <v>7.86</v>
      </c>
      <c r="CA7" s="9">
        <v>75.02</v>
      </c>
      <c r="CB7" s="9">
        <v>99.4</v>
      </c>
      <c r="CC7" s="9">
        <v>4.62</v>
      </c>
      <c r="CD7" s="9">
        <v>67.37</v>
      </c>
      <c r="CE7" s="9">
        <v>67.23</v>
      </c>
      <c r="CF7" s="9">
        <v>7.79</v>
      </c>
      <c r="CG7" s="9">
        <v>75.16</v>
      </c>
      <c r="CH7" s="9">
        <v>99.49</v>
      </c>
      <c r="CI7" s="9">
        <v>5.77</v>
      </c>
      <c r="CJ7" s="9">
        <v>67.569999999999993</v>
      </c>
      <c r="CK7" s="9">
        <v>67.459999999999994</v>
      </c>
      <c r="CL7" s="9">
        <f>CM7-CJ7</f>
        <v>7.8700000000000045</v>
      </c>
      <c r="CM7" s="9">
        <v>75.44</v>
      </c>
      <c r="CN7" s="64"/>
    </row>
    <row r="8" spans="1:92" s="40" customFormat="1" ht="11.25" thickBot="1">
      <c r="A8" s="39" t="s">
        <v>13</v>
      </c>
      <c r="B8" s="39">
        <v>99.68</v>
      </c>
      <c r="C8" s="39">
        <v>1.69</v>
      </c>
      <c r="D8" s="39">
        <v>41.07</v>
      </c>
      <c r="E8" s="39">
        <v>36.97</v>
      </c>
      <c r="F8" s="39">
        <v>22.84</v>
      </c>
      <c r="G8" s="39">
        <v>63.91</v>
      </c>
      <c r="H8" s="39">
        <v>99.75</v>
      </c>
      <c r="I8" s="39">
        <v>5.0199999999999996</v>
      </c>
      <c r="J8" s="39">
        <v>51.31</v>
      </c>
      <c r="K8" s="39">
        <v>47.9</v>
      </c>
      <c r="L8" s="39">
        <v>15.85</v>
      </c>
      <c r="M8" s="39">
        <v>67.150000000000006</v>
      </c>
      <c r="N8" s="39">
        <v>99.77</v>
      </c>
      <c r="O8" s="39">
        <v>8.35</v>
      </c>
      <c r="P8" s="39">
        <v>51.55</v>
      </c>
      <c r="Q8" s="39">
        <v>48.14</v>
      </c>
      <c r="R8" s="39">
        <v>15.9</v>
      </c>
      <c r="S8" s="39">
        <v>67.45</v>
      </c>
      <c r="T8" s="39">
        <v>99.78</v>
      </c>
      <c r="U8" s="39">
        <v>4.42</v>
      </c>
      <c r="V8" s="39">
        <v>51.8</v>
      </c>
      <c r="W8" s="39">
        <v>48.9</v>
      </c>
      <c r="X8" s="39">
        <v>15.86</v>
      </c>
      <c r="Y8" s="39">
        <v>67.66</v>
      </c>
      <c r="Z8" s="39">
        <v>99.79</v>
      </c>
      <c r="AA8" s="39">
        <v>1.1399999999999999</v>
      </c>
      <c r="AB8" s="39">
        <v>52.15</v>
      </c>
      <c r="AC8" s="39">
        <v>49.07</v>
      </c>
      <c r="AD8" s="39">
        <v>15.62</v>
      </c>
      <c r="AE8" s="39">
        <v>67.77</v>
      </c>
      <c r="AF8" s="39">
        <v>99.81</v>
      </c>
      <c r="AG8" s="39">
        <v>2.27</v>
      </c>
      <c r="AH8" s="39">
        <v>56.82</v>
      </c>
      <c r="AI8" s="39">
        <v>53.71</v>
      </c>
      <c r="AJ8" s="39">
        <v>11.589999999999996</v>
      </c>
      <c r="AK8" s="39">
        <v>68.41</v>
      </c>
      <c r="AL8" s="39">
        <v>99.81</v>
      </c>
      <c r="AM8" s="39">
        <v>2.88</v>
      </c>
      <c r="AN8" s="39">
        <v>57.98</v>
      </c>
      <c r="AO8" s="39">
        <v>55.6</v>
      </c>
      <c r="AP8" s="39">
        <v>10.41</v>
      </c>
      <c r="AQ8" s="39">
        <v>68.39</v>
      </c>
      <c r="AR8" s="39">
        <v>99.82</v>
      </c>
      <c r="AS8" s="39">
        <v>5.1100000000000003</v>
      </c>
      <c r="AT8" s="39">
        <v>58.27</v>
      </c>
      <c r="AU8" s="39">
        <v>58.04</v>
      </c>
      <c r="AV8" s="39">
        <v>10.41</v>
      </c>
      <c r="AW8" s="39">
        <v>68.67</v>
      </c>
      <c r="AX8" s="39">
        <v>99.82</v>
      </c>
      <c r="AY8" s="39">
        <v>2</v>
      </c>
      <c r="AZ8" s="39">
        <v>58.74</v>
      </c>
      <c r="BA8" s="39">
        <v>58.55</v>
      </c>
      <c r="BB8" s="39">
        <v>10.210000000000001</v>
      </c>
      <c r="BC8" s="39">
        <v>68.95</v>
      </c>
      <c r="BD8" s="39">
        <v>99.81</v>
      </c>
      <c r="BE8" s="39">
        <v>7.88</v>
      </c>
      <c r="BF8" s="39">
        <v>60.21</v>
      </c>
      <c r="BG8" s="39">
        <v>60.02</v>
      </c>
      <c r="BH8" s="39">
        <v>8.76</v>
      </c>
      <c r="BI8" s="39">
        <v>68.97</v>
      </c>
      <c r="BJ8" s="39">
        <v>99.82</v>
      </c>
      <c r="BK8" s="39">
        <v>3.94</v>
      </c>
      <c r="BL8" s="39">
        <v>63.22</v>
      </c>
      <c r="BM8" s="39">
        <v>60.02</v>
      </c>
      <c r="BN8" s="39">
        <v>5.67</v>
      </c>
      <c r="BO8" s="39">
        <v>68.89</v>
      </c>
      <c r="BP8" s="39">
        <v>99.81</v>
      </c>
      <c r="BQ8" s="39">
        <v>3.46</v>
      </c>
      <c r="BR8" s="39">
        <v>62.98</v>
      </c>
      <c r="BS8" s="39">
        <v>59.9</v>
      </c>
      <c r="BT8" s="39">
        <v>4.37</v>
      </c>
      <c r="BU8" s="39">
        <v>67.31</v>
      </c>
      <c r="BV8" s="39">
        <v>99.82</v>
      </c>
      <c r="BW8" s="39">
        <v>3.08</v>
      </c>
      <c r="BX8" s="39">
        <v>63.68</v>
      </c>
      <c r="BY8" s="39">
        <v>63.46</v>
      </c>
      <c r="BZ8" s="39">
        <v>4.34</v>
      </c>
      <c r="CA8" s="39">
        <v>68.02</v>
      </c>
      <c r="CB8" s="39">
        <v>99.83</v>
      </c>
      <c r="CC8" s="39">
        <v>8.16</v>
      </c>
      <c r="CD8" s="39">
        <v>64.19</v>
      </c>
      <c r="CE8" s="39">
        <v>63.98</v>
      </c>
      <c r="CF8" s="39">
        <v>4.21</v>
      </c>
      <c r="CG8" s="39">
        <v>68.400000000000006</v>
      </c>
      <c r="CH8" s="39">
        <v>99.82</v>
      </c>
      <c r="CI8" s="39">
        <v>9.85</v>
      </c>
      <c r="CJ8" s="39">
        <v>64.23</v>
      </c>
      <c r="CK8" s="9">
        <v>64.010000000000005</v>
      </c>
      <c r="CL8" s="39">
        <f t="shared" ref="CL8:CL43" si="0">CM8-CJ8</f>
        <v>4.2199999999999989</v>
      </c>
      <c r="CM8" s="39">
        <v>68.45</v>
      </c>
      <c r="CN8" s="64"/>
    </row>
    <row r="9" spans="1:92" s="11" customFormat="1" ht="12.95" customHeight="1" thickBot="1">
      <c r="A9" s="41" t="s">
        <v>14</v>
      </c>
      <c r="B9" s="9">
        <v>99.38</v>
      </c>
      <c r="C9" s="9">
        <v>1.1299999999999999</v>
      </c>
      <c r="D9" s="9">
        <v>31.99</v>
      </c>
      <c r="E9" s="9">
        <v>28.82</v>
      </c>
      <c r="F9" s="9">
        <v>21.08</v>
      </c>
      <c r="G9" s="9">
        <v>53.07</v>
      </c>
      <c r="H9" s="9">
        <v>99.44</v>
      </c>
      <c r="I9" s="9">
        <v>15.7</v>
      </c>
      <c r="J9" s="9">
        <v>32.950000000000003</v>
      </c>
      <c r="K9" s="9">
        <v>32.21</v>
      </c>
      <c r="L9" s="9">
        <v>24.7</v>
      </c>
      <c r="M9" s="9">
        <v>57.65</v>
      </c>
      <c r="N9" s="9">
        <v>99.46</v>
      </c>
      <c r="O9" s="9">
        <v>27.69</v>
      </c>
      <c r="P9" s="9">
        <v>33.04</v>
      </c>
      <c r="Q9" s="9">
        <v>32.299999999999997</v>
      </c>
      <c r="R9" s="9">
        <v>24.75</v>
      </c>
      <c r="S9" s="9">
        <v>57.8</v>
      </c>
      <c r="T9" s="9">
        <v>99.51</v>
      </c>
      <c r="U9" s="9">
        <v>10.23</v>
      </c>
      <c r="V9" s="9">
        <v>33.15</v>
      </c>
      <c r="W9" s="9">
        <v>33.15</v>
      </c>
      <c r="X9" s="9">
        <v>24.83</v>
      </c>
      <c r="Y9" s="9">
        <v>57.97</v>
      </c>
      <c r="Z9" s="9">
        <v>99.54</v>
      </c>
      <c r="AA9" s="9">
        <v>2.62</v>
      </c>
      <c r="AB9" s="9">
        <v>33.22</v>
      </c>
      <c r="AC9" s="9">
        <v>33.22</v>
      </c>
      <c r="AD9" s="9">
        <v>24.85</v>
      </c>
      <c r="AE9" s="9">
        <v>58.06</v>
      </c>
      <c r="AF9" s="9">
        <v>99.54</v>
      </c>
      <c r="AG9" s="9">
        <v>3.73</v>
      </c>
      <c r="AH9" s="9">
        <v>43.03</v>
      </c>
      <c r="AI9" s="9">
        <v>43.03</v>
      </c>
      <c r="AJ9" s="9">
        <v>16.009999999999998</v>
      </c>
      <c r="AK9" s="9">
        <v>59.04</v>
      </c>
      <c r="AL9" s="9">
        <v>99.54</v>
      </c>
      <c r="AM9" s="9">
        <v>5.07</v>
      </c>
      <c r="AN9" s="9">
        <v>43.7</v>
      </c>
      <c r="AO9" s="9">
        <v>43.7</v>
      </c>
      <c r="AP9" s="9">
        <v>15.15</v>
      </c>
      <c r="AQ9" s="9">
        <v>58.85</v>
      </c>
      <c r="AR9" s="9">
        <v>99.54</v>
      </c>
      <c r="AS9" s="9">
        <v>13.32</v>
      </c>
      <c r="AT9" s="9">
        <v>43.94</v>
      </c>
      <c r="AU9" s="9">
        <v>43.94</v>
      </c>
      <c r="AV9" s="9">
        <v>15.45</v>
      </c>
      <c r="AW9" s="9">
        <v>59.39</v>
      </c>
      <c r="AX9" s="9">
        <v>99.54</v>
      </c>
      <c r="AY9" s="9">
        <v>0.18</v>
      </c>
      <c r="AZ9" s="9">
        <v>44.21</v>
      </c>
      <c r="BA9" s="9">
        <v>44.21</v>
      </c>
      <c r="BB9" s="9">
        <v>15.48</v>
      </c>
      <c r="BC9" s="9">
        <v>59.7</v>
      </c>
      <c r="BD9" s="9">
        <v>99.54</v>
      </c>
      <c r="BE9" s="9">
        <v>23.87</v>
      </c>
      <c r="BF9" s="9">
        <v>49.97</v>
      </c>
      <c r="BG9" s="9">
        <v>49.97</v>
      </c>
      <c r="BH9" s="9">
        <v>10.1</v>
      </c>
      <c r="BI9" s="9">
        <v>60.07</v>
      </c>
      <c r="BJ9" s="9">
        <v>99.59</v>
      </c>
      <c r="BK9" s="9">
        <v>1.82</v>
      </c>
      <c r="BL9" s="9">
        <v>50.57</v>
      </c>
      <c r="BM9" s="9">
        <v>36.26</v>
      </c>
      <c r="BN9" s="9">
        <v>10.39</v>
      </c>
      <c r="BO9" s="9">
        <v>60.97</v>
      </c>
      <c r="BP9" s="9">
        <v>99.59</v>
      </c>
      <c r="BQ9" s="9">
        <v>5.34</v>
      </c>
      <c r="BR9" s="9">
        <v>49.78</v>
      </c>
      <c r="BS9" s="9">
        <v>36.619999999999997</v>
      </c>
      <c r="BT9" s="9">
        <v>7.62</v>
      </c>
      <c r="BU9" s="9">
        <v>57.51</v>
      </c>
      <c r="BV9" s="9">
        <v>99.59</v>
      </c>
      <c r="BW9" s="11">
        <v>4.8</v>
      </c>
      <c r="BX9" s="9">
        <v>51.17</v>
      </c>
      <c r="BY9" s="9">
        <v>51.17</v>
      </c>
      <c r="BZ9" s="9">
        <v>7.45</v>
      </c>
      <c r="CA9" s="9">
        <v>58.62</v>
      </c>
      <c r="CB9" s="9">
        <v>99.6</v>
      </c>
      <c r="CC9" s="54">
        <v>25.39</v>
      </c>
      <c r="CD9" s="9">
        <v>51.48</v>
      </c>
      <c r="CE9" s="9">
        <v>51.48</v>
      </c>
      <c r="CF9" s="9">
        <v>7.21</v>
      </c>
      <c r="CG9" s="9">
        <v>58.69</v>
      </c>
      <c r="CH9" s="9">
        <v>99.6</v>
      </c>
      <c r="CI9" s="54">
        <v>27.28</v>
      </c>
      <c r="CJ9" s="9">
        <v>51.37</v>
      </c>
      <c r="CK9" s="9">
        <v>51.37</v>
      </c>
      <c r="CL9" s="9">
        <f t="shared" si="0"/>
        <v>6.9500000000000028</v>
      </c>
      <c r="CM9" s="9">
        <v>58.32</v>
      </c>
      <c r="CN9" s="64"/>
    </row>
    <row r="10" spans="1:92" s="11" customFormat="1" ht="12.95" customHeight="1" thickBot="1">
      <c r="A10" s="42" t="s">
        <v>15</v>
      </c>
      <c r="B10" s="43">
        <v>99.39</v>
      </c>
      <c r="C10" s="43">
        <v>0</v>
      </c>
      <c r="D10" s="43">
        <v>0</v>
      </c>
      <c r="E10" s="43">
        <v>0</v>
      </c>
      <c r="F10" s="43">
        <v>50.91</v>
      </c>
      <c r="G10" s="43">
        <v>50.91</v>
      </c>
      <c r="H10" s="43">
        <v>99.41</v>
      </c>
      <c r="I10" s="43">
        <v>0.5</v>
      </c>
      <c r="J10" s="43">
        <v>0</v>
      </c>
      <c r="K10" s="43">
        <v>0</v>
      </c>
      <c r="L10" s="43">
        <v>55.9</v>
      </c>
      <c r="M10" s="43">
        <v>55.9</v>
      </c>
      <c r="N10" s="43">
        <v>99.45</v>
      </c>
      <c r="O10" s="43">
        <v>0</v>
      </c>
      <c r="P10" s="43">
        <v>0</v>
      </c>
      <c r="Q10" s="43">
        <v>0</v>
      </c>
      <c r="R10" s="43">
        <v>56.22</v>
      </c>
      <c r="S10" s="43">
        <v>56.22</v>
      </c>
      <c r="T10" s="43">
        <v>99.46</v>
      </c>
      <c r="U10" s="43">
        <v>0</v>
      </c>
      <c r="V10" s="43">
        <v>0</v>
      </c>
      <c r="W10" s="43">
        <v>0</v>
      </c>
      <c r="X10" s="43">
        <v>56.57</v>
      </c>
      <c r="Y10" s="43">
        <v>56.57</v>
      </c>
      <c r="Z10" s="43">
        <v>99.71</v>
      </c>
      <c r="AA10" s="43">
        <v>0</v>
      </c>
      <c r="AB10" s="43">
        <v>0</v>
      </c>
      <c r="AC10" s="43">
        <v>0</v>
      </c>
      <c r="AD10" s="43">
        <v>56.81</v>
      </c>
      <c r="AE10" s="43">
        <v>56.81</v>
      </c>
      <c r="AF10" s="43">
        <v>99.72</v>
      </c>
      <c r="AG10" s="43">
        <v>0</v>
      </c>
      <c r="AH10" s="43">
        <v>0.48</v>
      </c>
      <c r="AI10" s="43">
        <v>0.48</v>
      </c>
      <c r="AJ10" s="43">
        <v>56.540000000000006</v>
      </c>
      <c r="AK10" s="43">
        <v>57.02</v>
      </c>
      <c r="AL10" s="43">
        <v>99.73</v>
      </c>
      <c r="AM10" s="43">
        <v>0</v>
      </c>
      <c r="AN10" s="43">
        <v>0.49</v>
      </c>
      <c r="AO10" s="43">
        <v>0.49</v>
      </c>
      <c r="AP10" s="43">
        <v>56.31</v>
      </c>
      <c r="AQ10" s="43">
        <v>56.79</v>
      </c>
      <c r="AR10" s="43">
        <v>99.75</v>
      </c>
      <c r="AS10" s="43">
        <v>0</v>
      </c>
      <c r="AT10" s="43">
        <v>0.47</v>
      </c>
      <c r="AU10" s="43">
        <v>0.47</v>
      </c>
      <c r="AV10" s="43">
        <v>56.73</v>
      </c>
      <c r="AW10" s="43">
        <v>57.2</v>
      </c>
      <c r="AX10" s="43">
        <v>99.76</v>
      </c>
      <c r="AY10" s="43">
        <v>0</v>
      </c>
      <c r="AZ10" s="43">
        <v>0.46</v>
      </c>
      <c r="BA10" s="43">
        <v>0.46</v>
      </c>
      <c r="BB10" s="43">
        <v>57.17</v>
      </c>
      <c r="BC10" s="43">
        <v>57.63</v>
      </c>
      <c r="BD10" s="43">
        <v>99.77</v>
      </c>
      <c r="BE10" s="43">
        <v>0</v>
      </c>
      <c r="BF10" s="43">
        <v>49.48</v>
      </c>
      <c r="BG10" s="43">
        <v>49.48</v>
      </c>
      <c r="BH10" s="43">
        <v>8.4</v>
      </c>
      <c r="BI10" s="43">
        <v>57.88</v>
      </c>
      <c r="BJ10" s="43">
        <v>99.79</v>
      </c>
      <c r="BK10" s="43">
        <v>0</v>
      </c>
      <c r="BL10" s="43">
        <v>49.33</v>
      </c>
      <c r="BM10" s="43">
        <v>49.33</v>
      </c>
      <c r="BN10" s="43">
        <v>8.39</v>
      </c>
      <c r="BO10" s="43">
        <v>57.72</v>
      </c>
      <c r="BP10" s="43">
        <v>99.8</v>
      </c>
      <c r="BQ10" s="43">
        <v>0</v>
      </c>
      <c r="BR10" s="43">
        <v>49.8</v>
      </c>
      <c r="BS10" s="43">
        <v>49.8</v>
      </c>
      <c r="BT10" s="43">
        <v>5.36</v>
      </c>
      <c r="BU10" s="43">
        <v>54.76</v>
      </c>
      <c r="BV10" s="43">
        <v>99.81</v>
      </c>
      <c r="BW10" s="43">
        <v>0</v>
      </c>
      <c r="BX10" s="43">
        <v>48.9</v>
      </c>
      <c r="BY10" s="43">
        <v>48.9</v>
      </c>
      <c r="BZ10" s="43">
        <v>5.41</v>
      </c>
      <c r="CA10" s="43">
        <v>54.31</v>
      </c>
      <c r="CB10" s="43">
        <v>99.83</v>
      </c>
      <c r="CC10" s="43">
        <v>0</v>
      </c>
      <c r="CD10" s="43">
        <v>47.86</v>
      </c>
      <c r="CE10" s="43">
        <v>47.86</v>
      </c>
      <c r="CF10" s="43">
        <v>5.44</v>
      </c>
      <c r="CG10" s="43">
        <v>53.3</v>
      </c>
      <c r="CH10" s="43">
        <v>99.84</v>
      </c>
      <c r="CI10" s="43">
        <v>0</v>
      </c>
      <c r="CJ10" s="43">
        <v>47.66</v>
      </c>
      <c r="CK10" s="43">
        <v>47.66</v>
      </c>
      <c r="CL10" s="43">
        <f t="shared" si="0"/>
        <v>5.4200000000000017</v>
      </c>
      <c r="CM10" s="43">
        <v>53.08</v>
      </c>
      <c r="CN10" s="64"/>
    </row>
    <row r="11" spans="1:92" s="11" customFormat="1" ht="12.95" customHeight="1" thickBot="1">
      <c r="A11" s="42" t="s">
        <v>16</v>
      </c>
      <c r="B11" s="43">
        <v>99.6</v>
      </c>
      <c r="C11" s="43">
        <v>0</v>
      </c>
      <c r="D11" s="43">
        <v>30.97</v>
      </c>
      <c r="E11" s="43">
        <v>30.97</v>
      </c>
      <c r="F11" s="43">
        <v>23.32</v>
      </c>
      <c r="G11" s="43">
        <v>54.29</v>
      </c>
      <c r="H11" s="43">
        <v>99.61</v>
      </c>
      <c r="I11" s="43">
        <v>1.08</v>
      </c>
      <c r="J11" s="43">
        <v>32.4</v>
      </c>
      <c r="K11" s="43">
        <v>32.4</v>
      </c>
      <c r="L11" s="43">
        <v>23.04</v>
      </c>
      <c r="M11" s="43">
        <v>55.43</v>
      </c>
      <c r="N11" s="43">
        <v>99.61</v>
      </c>
      <c r="O11" s="43">
        <v>2.31</v>
      </c>
      <c r="P11" s="43">
        <v>32.369999999999997</v>
      </c>
      <c r="Q11" s="43">
        <v>32.369999999999997</v>
      </c>
      <c r="R11" s="43">
        <v>23.09</v>
      </c>
      <c r="S11" s="43">
        <v>55.46</v>
      </c>
      <c r="T11" s="43">
        <v>99.62</v>
      </c>
      <c r="U11" s="43">
        <v>2.0699999999999998</v>
      </c>
      <c r="V11" s="43">
        <v>32.4</v>
      </c>
      <c r="W11" s="43">
        <v>32.4</v>
      </c>
      <c r="X11" s="43">
        <v>23.2</v>
      </c>
      <c r="Y11" s="43">
        <v>55.6</v>
      </c>
      <c r="Z11" s="43">
        <v>99.63</v>
      </c>
      <c r="AA11" s="43">
        <v>0</v>
      </c>
      <c r="AB11" s="43">
        <v>32.33</v>
      </c>
      <c r="AC11" s="43">
        <v>32.33</v>
      </c>
      <c r="AD11" s="43">
        <v>23.28</v>
      </c>
      <c r="AE11" s="43">
        <v>55.61</v>
      </c>
      <c r="AF11" s="43">
        <v>99.62</v>
      </c>
      <c r="AG11" s="43">
        <v>4.08</v>
      </c>
      <c r="AH11" s="43">
        <v>51.72</v>
      </c>
      <c r="AI11" s="43">
        <v>51.72</v>
      </c>
      <c r="AJ11" s="43">
        <v>4.2000000000000028</v>
      </c>
      <c r="AK11" s="43">
        <v>55.92</v>
      </c>
      <c r="AL11" s="43">
        <v>99.62</v>
      </c>
      <c r="AM11" s="43">
        <v>0.1</v>
      </c>
      <c r="AN11" s="43">
        <v>50.52</v>
      </c>
      <c r="AO11" s="43">
        <v>50.52</v>
      </c>
      <c r="AP11" s="43">
        <v>5.05</v>
      </c>
      <c r="AQ11" s="43">
        <v>55.57</v>
      </c>
      <c r="AR11" s="43">
        <v>99.62</v>
      </c>
      <c r="AS11" s="43">
        <v>0</v>
      </c>
      <c r="AT11" s="43">
        <v>50.87</v>
      </c>
      <c r="AU11" s="43">
        <v>50.87</v>
      </c>
      <c r="AV11" s="43">
        <v>6.34</v>
      </c>
      <c r="AW11" s="43">
        <v>57.21</v>
      </c>
      <c r="AX11" s="43">
        <v>99.63</v>
      </c>
      <c r="AY11" s="43">
        <v>0.35</v>
      </c>
      <c r="AZ11" s="43">
        <v>51.23</v>
      </c>
      <c r="BA11" s="43">
        <v>51.23</v>
      </c>
      <c r="BB11" s="43">
        <v>6.34</v>
      </c>
      <c r="BC11" s="43">
        <v>57.57</v>
      </c>
      <c r="BD11" s="43">
        <v>99.63</v>
      </c>
      <c r="BE11" s="43">
        <v>1.36</v>
      </c>
      <c r="BF11" s="43">
        <v>51.44</v>
      </c>
      <c r="BG11" s="43">
        <v>51.44</v>
      </c>
      <c r="BH11" s="43">
        <v>6.32</v>
      </c>
      <c r="BI11" s="43">
        <v>57.76</v>
      </c>
      <c r="BJ11" s="43">
        <v>99.63</v>
      </c>
      <c r="BK11" s="43">
        <v>1.0900000000000001</v>
      </c>
      <c r="BL11" s="43">
        <v>51.43</v>
      </c>
      <c r="BM11" s="43">
        <v>51.43</v>
      </c>
      <c r="BN11" s="43">
        <v>6.29</v>
      </c>
      <c r="BO11" s="43">
        <v>57.71</v>
      </c>
      <c r="BP11" s="43">
        <v>99.63</v>
      </c>
      <c r="BQ11" s="43">
        <v>1</v>
      </c>
      <c r="BR11" s="43">
        <v>51.14</v>
      </c>
      <c r="BS11" s="43">
        <v>51.14</v>
      </c>
      <c r="BT11" s="43">
        <v>4.1500000000000004</v>
      </c>
      <c r="BU11" s="43">
        <v>55.72</v>
      </c>
      <c r="BV11" s="43">
        <v>99.64</v>
      </c>
      <c r="BW11" s="43">
        <v>0</v>
      </c>
      <c r="BX11" s="43">
        <v>52.83</v>
      </c>
      <c r="BY11" s="43">
        <v>52.83</v>
      </c>
      <c r="BZ11" s="43">
        <v>4.2</v>
      </c>
      <c r="CA11" s="43">
        <v>57.03</v>
      </c>
      <c r="CB11" s="43">
        <v>99.65</v>
      </c>
      <c r="CC11" s="43">
        <v>0</v>
      </c>
      <c r="CD11" s="43">
        <v>52.92</v>
      </c>
      <c r="CE11" s="43">
        <v>52.92</v>
      </c>
      <c r="CF11" s="43">
        <v>4.07</v>
      </c>
      <c r="CG11" s="43">
        <v>57</v>
      </c>
      <c r="CH11" s="43">
        <v>99.65</v>
      </c>
      <c r="CI11" s="43">
        <v>1.85</v>
      </c>
      <c r="CJ11" s="74">
        <v>52.69</v>
      </c>
      <c r="CK11" s="43">
        <v>52.69</v>
      </c>
      <c r="CL11" s="43">
        <f t="shared" si="0"/>
        <v>3.1799999999999997</v>
      </c>
      <c r="CM11" s="43">
        <v>55.87</v>
      </c>
      <c r="CN11" s="64"/>
    </row>
    <row r="12" spans="1:92" s="11" customFormat="1" ht="12.95" customHeight="1" thickBot="1">
      <c r="A12" s="42" t="s">
        <v>17</v>
      </c>
      <c r="B12" s="43">
        <v>99.44</v>
      </c>
      <c r="C12" s="43">
        <v>2.72</v>
      </c>
      <c r="D12" s="43">
        <v>40.17</v>
      </c>
      <c r="E12" s="43">
        <v>25.55</v>
      </c>
      <c r="F12" s="43">
        <v>4.32</v>
      </c>
      <c r="G12" s="43">
        <v>44.49</v>
      </c>
      <c r="H12" s="43">
        <v>99.6</v>
      </c>
      <c r="I12" s="43">
        <v>1.5</v>
      </c>
      <c r="J12" s="43">
        <v>40.92</v>
      </c>
      <c r="K12" s="43">
        <v>40.92</v>
      </c>
      <c r="L12" s="43">
        <v>22.65</v>
      </c>
      <c r="M12" s="43">
        <v>63.57</v>
      </c>
      <c r="N12" s="43">
        <v>99.66</v>
      </c>
      <c r="O12" s="43">
        <v>42.51</v>
      </c>
      <c r="P12" s="43">
        <v>41.11</v>
      </c>
      <c r="Q12" s="43">
        <v>41.11</v>
      </c>
      <c r="R12" s="43">
        <v>22.72</v>
      </c>
      <c r="S12" s="43">
        <v>63.83</v>
      </c>
      <c r="T12" s="43">
        <v>99.66</v>
      </c>
      <c r="U12" s="43">
        <v>51.72</v>
      </c>
      <c r="V12" s="43">
        <v>41.15</v>
      </c>
      <c r="W12" s="43">
        <v>41.15</v>
      </c>
      <c r="X12" s="43">
        <v>22.81</v>
      </c>
      <c r="Y12" s="43">
        <v>63.95</v>
      </c>
      <c r="Z12" s="43">
        <v>99.67</v>
      </c>
      <c r="AA12" s="43">
        <v>13.82</v>
      </c>
      <c r="AB12" s="43">
        <v>41.19</v>
      </c>
      <c r="AC12" s="43">
        <v>41.19</v>
      </c>
      <c r="AD12" s="43">
        <v>22.86</v>
      </c>
      <c r="AE12" s="43">
        <v>64.05</v>
      </c>
      <c r="AF12" s="43">
        <v>99.66</v>
      </c>
      <c r="AG12" s="43">
        <v>11.42</v>
      </c>
      <c r="AH12" s="43">
        <v>56.59</v>
      </c>
      <c r="AI12" s="43">
        <v>56.59</v>
      </c>
      <c r="AJ12" s="43">
        <v>12.219999999999999</v>
      </c>
      <c r="AK12" s="43">
        <v>68.81</v>
      </c>
      <c r="AL12" s="43">
        <v>99.66</v>
      </c>
      <c r="AM12" s="43">
        <v>28.27</v>
      </c>
      <c r="AN12" s="43">
        <v>56.59</v>
      </c>
      <c r="AO12" s="43">
        <v>56.59</v>
      </c>
      <c r="AP12" s="43">
        <v>12.25</v>
      </c>
      <c r="AQ12" s="43">
        <v>68.84</v>
      </c>
      <c r="AR12" s="43">
        <v>99.67</v>
      </c>
      <c r="AS12" s="43">
        <v>76.87</v>
      </c>
      <c r="AT12" s="43">
        <v>56.69</v>
      </c>
      <c r="AU12" s="43">
        <v>56.69</v>
      </c>
      <c r="AV12" s="43">
        <v>12.27</v>
      </c>
      <c r="AW12" s="43">
        <v>68.959999999999994</v>
      </c>
      <c r="AX12" s="43">
        <v>99.67</v>
      </c>
      <c r="AY12" s="43">
        <v>0</v>
      </c>
      <c r="AZ12" s="43">
        <v>56.83</v>
      </c>
      <c r="BA12" s="43">
        <v>56.83</v>
      </c>
      <c r="BB12" s="43">
        <v>12.3</v>
      </c>
      <c r="BC12" s="43">
        <v>69.13</v>
      </c>
      <c r="BD12" s="43">
        <v>99.67</v>
      </c>
      <c r="BE12" s="43">
        <v>45.74</v>
      </c>
      <c r="BF12" s="43">
        <v>56.96</v>
      </c>
      <c r="BG12" s="43">
        <v>56.96</v>
      </c>
      <c r="BH12" s="43">
        <v>12.33</v>
      </c>
      <c r="BI12" s="43">
        <v>69.290000000000006</v>
      </c>
      <c r="BJ12" s="43">
        <v>99.67</v>
      </c>
      <c r="BK12" s="43">
        <v>4.3600000000000003</v>
      </c>
      <c r="BL12" s="43">
        <v>56.44</v>
      </c>
      <c r="BM12" s="43">
        <v>56.44</v>
      </c>
      <c r="BN12" s="43">
        <v>12.36</v>
      </c>
      <c r="BO12" s="43">
        <v>68.8</v>
      </c>
      <c r="BP12" s="43">
        <v>99.67</v>
      </c>
      <c r="BQ12" s="43">
        <v>20.010000000000002</v>
      </c>
      <c r="BR12" s="43">
        <v>56.01</v>
      </c>
      <c r="BS12" s="43">
        <v>56.01</v>
      </c>
      <c r="BT12" s="43">
        <v>3.87</v>
      </c>
      <c r="BU12" s="43">
        <v>59.88</v>
      </c>
      <c r="BV12" s="43">
        <v>99.68</v>
      </c>
      <c r="BW12" s="43">
        <v>20.34</v>
      </c>
      <c r="BX12" s="43">
        <v>55.96</v>
      </c>
      <c r="BY12" s="43">
        <v>55.96</v>
      </c>
      <c r="BZ12" s="43">
        <v>4.07</v>
      </c>
      <c r="CA12" s="43">
        <v>60.03</v>
      </c>
      <c r="CB12" s="43">
        <v>99.69</v>
      </c>
      <c r="CC12" s="43">
        <v>45.56</v>
      </c>
      <c r="CD12" s="43">
        <v>55.83</v>
      </c>
      <c r="CE12" s="43">
        <v>55.83</v>
      </c>
      <c r="CF12" s="43">
        <v>4.3099999999999996</v>
      </c>
      <c r="CG12" s="43">
        <v>60.14</v>
      </c>
      <c r="CH12" s="43">
        <v>99.68</v>
      </c>
      <c r="CI12" s="43">
        <v>56.34</v>
      </c>
      <c r="CJ12" s="43">
        <v>55.7</v>
      </c>
      <c r="CK12" s="43">
        <v>55.7</v>
      </c>
      <c r="CL12" s="43">
        <f t="shared" si="0"/>
        <v>4.3599999999999994</v>
      </c>
      <c r="CM12" s="43">
        <v>60.06</v>
      </c>
      <c r="CN12" s="64"/>
    </row>
    <row r="13" spans="1:92" s="11" customFormat="1" ht="12.95" customHeight="1" thickBot="1">
      <c r="A13" s="42" t="s">
        <v>18</v>
      </c>
      <c r="B13" s="43">
        <v>97.85</v>
      </c>
      <c r="C13" s="43">
        <v>1</v>
      </c>
      <c r="D13" s="43">
        <v>33.31</v>
      </c>
      <c r="E13" s="43">
        <v>29.11</v>
      </c>
      <c r="F13" s="43">
        <v>24.52</v>
      </c>
      <c r="G13" s="43">
        <v>57.83</v>
      </c>
      <c r="H13" s="43">
        <v>98.09</v>
      </c>
      <c r="I13" s="43">
        <v>1.05</v>
      </c>
      <c r="J13" s="43">
        <v>33.86</v>
      </c>
      <c r="K13" s="43">
        <v>29.63</v>
      </c>
      <c r="L13" s="43">
        <v>24.34</v>
      </c>
      <c r="M13" s="43">
        <v>58.2</v>
      </c>
      <c r="N13" s="43">
        <v>98.1</v>
      </c>
      <c r="O13" s="43">
        <v>3.24</v>
      </c>
      <c r="P13" s="43">
        <v>34.04</v>
      </c>
      <c r="Q13" s="43">
        <v>29.79</v>
      </c>
      <c r="R13" s="43">
        <v>24.44</v>
      </c>
      <c r="S13" s="43">
        <v>58.48</v>
      </c>
      <c r="T13" s="43">
        <v>98.35</v>
      </c>
      <c r="U13" s="43">
        <v>2.39</v>
      </c>
      <c r="V13" s="43">
        <v>34.19</v>
      </c>
      <c r="W13" s="43">
        <v>34.19</v>
      </c>
      <c r="X13" s="43">
        <v>24.54</v>
      </c>
      <c r="Y13" s="43">
        <v>58.72</v>
      </c>
      <c r="Z13" s="43">
        <v>98.35</v>
      </c>
      <c r="AA13" s="43">
        <v>0.55000000000000004</v>
      </c>
      <c r="AB13" s="43">
        <v>34.28</v>
      </c>
      <c r="AC13" s="43">
        <v>34.28</v>
      </c>
      <c r="AD13" s="43">
        <v>24.55</v>
      </c>
      <c r="AE13" s="43">
        <v>58.83</v>
      </c>
      <c r="AF13" s="43">
        <v>98.34</v>
      </c>
      <c r="AG13" s="43">
        <v>1.31</v>
      </c>
      <c r="AH13" s="43">
        <v>35.11</v>
      </c>
      <c r="AI13" s="43">
        <v>35.11</v>
      </c>
      <c r="AJ13" s="43">
        <v>24.46</v>
      </c>
      <c r="AK13" s="43">
        <v>59.57</v>
      </c>
      <c r="AL13" s="43">
        <v>98.32</v>
      </c>
      <c r="AM13" s="43">
        <v>0.57999999999999996</v>
      </c>
      <c r="AN13" s="43">
        <v>34.89</v>
      </c>
      <c r="AO13" s="43">
        <v>34.89</v>
      </c>
      <c r="AP13" s="43">
        <v>24.4</v>
      </c>
      <c r="AQ13" s="43">
        <v>59.29</v>
      </c>
      <c r="AR13" s="43">
        <v>98.31</v>
      </c>
      <c r="AS13" s="43">
        <v>1.05</v>
      </c>
      <c r="AT13" s="43">
        <v>35.159999999999997</v>
      </c>
      <c r="AU13" s="43">
        <v>35.159999999999997</v>
      </c>
      <c r="AV13" s="43">
        <v>24.42</v>
      </c>
      <c r="AW13" s="43">
        <v>59.58</v>
      </c>
      <c r="AX13" s="43">
        <v>98.3</v>
      </c>
      <c r="AY13" s="43">
        <v>0.59</v>
      </c>
      <c r="AZ13" s="43">
        <v>35.450000000000003</v>
      </c>
      <c r="BA13" s="43">
        <v>35.450000000000003</v>
      </c>
      <c r="BB13" s="43">
        <v>24.48</v>
      </c>
      <c r="BC13" s="43">
        <v>59.94</v>
      </c>
      <c r="BD13" s="43">
        <v>98.29</v>
      </c>
      <c r="BE13" s="43">
        <v>2.1</v>
      </c>
      <c r="BF13" s="43">
        <v>35.56</v>
      </c>
      <c r="BG13" s="43">
        <v>35.56</v>
      </c>
      <c r="BH13" s="43">
        <v>25.74</v>
      </c>
      <c r="BI13" s="43">
        <v>61.3</v>
      </c>
      <c r="BJ13" s="43">
        <v>98.55</v>
      </c>
      <c r="BK13" s="43">
        <v>1.22</v>
      </c>
      <c r="BL13" s="43">
        <v>35.24</v>
      </c>
      <c r="BM13" s="43">
        <v>35.24</v>
      </c>
      <c r="BN13" s="43">
        <v>25.73</v>
      </c>
      <c r="BO13" s="43">
        <v>60.97</v>
      </c>
      <c r="BP13" s="43">
        <v>98.55</v>
      </c>
      <c r="BQ13" s="43">
        <v>2.11</v>
      </c>
      <c r="BR13" s="43">
        <v>35.25</v>
      </c>
      <c r="BS13" s="43">
        <v>35.25</v>
      </c>
      <c r="BT13" s="43">
        <v>24.5</v>
      </c>
      <c r="BU13" s="43">
        <v>59.63</v>
      </c>
      <c r="BV13" s="43">
        <v>98.55</v>
      </c>
      <c r="BW13" s="43">
        <v>0.63</v>
      </c>
      <c r="BX13" s="43">
        <v>36.159999999999997</v>
      </c>
      <c r="BY13" s="43">
        <v>36.159999999999997</v>
      </c>
      <c r="BZ13" s="43">
        <v>23.58</v>
      </c>
      <c r="CA13" s="43">
        <v>59.74</v>
      </c>
      <c r="CB13" s="43">
        <v>98.55</v>
      </c>
      <c r="CC13" s="43">
        <v>3.8</v>
      </c>
      <c r="CD13" s="43">
        <v>36.89</v>
      </c>
      <c r="CE13" s="43">
        <v>36.89</v>
      </c>
      <c r="CF13" s="43">
        <v>22.54</v>
      </c>
      <c r="CG13" s="43">
        <v>59.43</v>
      </c>
      <c r="CH13" s="43">
        <v>98.54</v>
      </c>
      <c r="CI13" s="43">
        <v>3.19</v>
      </c>
      <c r="CJ13" s="43">
        <v>36.67</v>
      </c>
      <c r="CK13" s="43">
        <v>36.67</v>
      </c>
      <c r="CL13" s="43">
        <f t="shared" si="0"/>
        <v>22.159999999999997</v>
      </c>
      <c r="CM13" s="43">
        <v>58.83</v>
      </c>
      <c r="CN13" s="64"/>
    </row>
    <row r="14" spans="1:92" s="11" customFormat="1" ht="13.5" customHeight="1" thickBot="1">
      <c r="A14" s="42" t="s">
        <v>19</v>
      </c>
      <c r="B14" s="43">
        <v>100</v>
      </c>
      <c r="C14" s="43">
        <v>1.56</v>
      </c>
      <c r="D14" s="43">
        <v>39.6</v>
      </c>
      <c r="E14" s="43">
        <v>39.6</v>
      </c>
      <c r="F14" s="43">
        <v>15.34</v>
      </c>
      <c r="G14" s="43">
        <v>54.93</v>
      </c>
      <c r="H14" s="43">
        <v>100</v>
      </c>
      <c r="I14" s="43">
        <v>46.98</v>
      </c>
      <c r="J14" s="43">
        <v>40.98</v>
      </c>
      <c r="K14" s="43">
        <v>40.98</v>
      </c>
      <c r="L14" s="43">
        <v>15.45</v>
      </c>
      <c r="M14" s="43">
        <v>56.43</v>
      </c>
      <c r="N14" s="43">
        <v>100</v>
      </c>
      <c r="O14" s="43">
        <v>61.13</v>
      </c>
      <c r="P14" s="43">
        <v>41.03</v>
      </c>
      <c r="Q14" s="43">
        <v>41.03</v>
      </c>
      <c r="R14" s="43">
        <v>15.44</v>
      </c>
      <c r="S14" s="43">
        <v>56.47</v>
      </c>
      <c r="T14" s="43">
        <v>100</v>
      </c>
      <c r="U14" s="43">
        <v>2.2000000000000002</v>
      </c>
      <c r="V14" s="43">
        <v>41.15</v>
      </c>
      <c r="W14" s="43">
        <v>41.15</v>
      </c>
      <c r="X14" s="43">
        <v>15.43</v>
      </c>
      <c r="Y14" s="43">
        <v>56.58</v>
      </c>
      <c r="Z14" s="43">
        <v>100</v>
      </c>
      <c r="AA14" s="43">
        <v>0.66</v>
      </c>
      <c r="AB14" s="43">
        <v>41.26</v>
      </c>
      <c r="AC14" s="43">
        <v>41.26</v>
      </c>
      <c r="AD14" s="43">
        <v>15.41</v>
      </c>
      <c r="AE14" s="43">
        <v>56.67</v>
      </c>
      <c r="AF14" s="43">
        <v>100</v>
      </c>
      <c r="AG14" s="43">
        <v>2.13</v>
      </c>
      <c r="AH14" s="43">
        <v>49.78</v>
      </c>
      <c r="AI14" s="43">
        <v>49.78</v>
      </c>
      <c r="AJ14" s="43">
        <v>6.7299999999999969</v>
      </c>
      <c r="AK14" s="43">
        <v>56.51</v>
      </c>
      <c r="AL14" s="43">
        <v>100</v>
      </c>
      <c r="AM14" s="43">
        <v>0.62</v>
      </c>
      <c r="AN14" s="43">
        <v>52.69</v>
      </c>
      <c r="AO14" s="43">
        <v>52.69</v>
      </c>
      <c r="AP14" s="43">
        <v>3.69</v>
      </c>
      <c r="AQ14" s="43">
        <v>56.38</v>
      </c>
      <c r="AR14" s="43">
        <v>100</v>
      </c>
      <c r="AS14" s="43">
        <v>0.67</v>
      </c>
      <c r="AT14" s="43">
        <v>52.89</v>
      </c>
      <c r="AU14" s="43">
        <v>52.89</v>
      </c>
      <c r="AV14" s="43">
        <v>3.69</v>
      </c>
      <c r="AW14" s="43">
        <v>56.58</v>
      </c>
      <c r="AX14" s="43">
        <v>100</v>
      </c>
      <c r="AY14" s="43">
        <v>0</v>
      </c>
      <c r="AZ14" s="43">
        <v>53.14</v>
      </c>
      <c r="BA14" s="43">
        <v>53.14</v>
      </c>
      <c r="BB14" s="43">
        <v>3.69</v>
      </c>
      <c r="BC14" s="43">
        <v>56.83</v>
      </c>
      <c r="BD14" s="43">
        <v>100</v>
      </c>
      <c r="BE14" s="43">
        <v>47.61</v>
      </c>
      <c r="BF14" s="43">
        <v>53.29</v>
      </c>
      <c r="BG14" s="43">
        <v>53.29</v>
      </c>
      <c r="BH14" s="43">
        <v>3.67</v>
      </c>
      <c r="BI14" s="43">
        <v>56.96</v>
      </c>
      <c r="BJ14" s="43">
        <v>100</v>
      </c>
      <c r="BK14" s="43">
        <v>1.93</v>
      </c>
      <c r="BL14" s="43">
        <v>55.6</v>
      </c>
      <c r="BM14" s="43">
        <v>11.48</v>
      </c>
      <c r="BN14" s="43">
        <v>4.6100000000000003</v>
      </c>
      <c r="BO14" s="43">
        <v>60.21</v>
      </c>
      <c r="BP14" s="43">
        <v>100</v>
      </c>
      <c r="BQ14" s="43">
        <v>4.13</v>
      </c>
      <c r="BR14" s="43">
        <v>53.26</v>
      </c>
      <c r="BS14" s="43">
        <v>12.73</v>
      </c>
      <c r="BT14" s="43">
        <v>3.67</v>
      </c>
      <c r="BU14" s="43">
        <v>57.3</v>
      </c>
      <c r="BV14" s="43">
        <v>100</v>
      </c>
      <c r="BW14" s="43">
        <v>3.8</v>
      </c>
      <c r="BX14" s="43">
        <v>56.31</v>
      </c>
      <c r="BY14" s="43">
        <v>56.31</v>
      </c>
      <c r="BZ14" s="43">
        <v>3.51</v>
      </c>
      <c r="CA14" s="43">
        <v>59.81</v>
      </c>
      <c r="CB14" s="43">
        <v>100</v>
      </c>
      <c r="CC14" s="43">
        <v>51.92</v>
      </c>
      <c r="CD14" s="43">
        <v>57.15</v>
      </c>
      <c r="CE14" s="43">
        <v>57.15</v>
      </c>
      <c r="CF14" s="43">
        <v>3.34</v>
      </c>
      <c r="CG14" s="43">
        <v>60.49</v>
      </c>
      <c r="CH14" s="43">
        <v>100</v>
      </c>
      <c r="CI14" s="43">
        <v>51.14</v>
      </c>
      <c r="CJ14" s="43">
        <v>57.19</v>
      </c>
      <c r="CK14" s="43">
        <v>57.19</v>
      </c>
      <c r="CL14" s="43">
        <f t="shared" si="0"/>
        <v>3.3300000000000054</v>
      </c>
      <c r="CM14" s="43">
        <v>60.52</v>
      </c>
      <c r="CN14" s="64"/>
    </row>
    <row r="15" spans="1:92" s="11" customFormat="1" ht="12.95" customHeight="1" thickBot="1">
      <c r="A15" s="41" t="s">
        <v>20</v>
      </c>
      <c r="B15" s="9">
        <v>99.66</v>
      </c>
      <c r="C15" s="9">
        <v>3.88</v>
      </c>
      <c r="D15" s="9">
        <v>27.54</v>
      </c>
      <c r="E15" s="9">
        <v>25.11</v>
      </c>
      <c r="F15" s="9">
        <v>33.68</v>
      </c>
      <c r="G15" s="9">
        <v>61.21</v>
      </c>
      <c r="H15" s="9">
        <v>99.78</v>
      </c>
      <c r="I15" s="9">
        <v>4.18</v>
      </c>
      <c r="J15" s="9">
        <v>46.25</v>
      </c>
      <c r="K15" s="9">
        <v>43.75</v>
      </c>
      <c r="L15" s="9">
        <v>17.399999999999999</v>
      </c>
      <c r="M15" s="9">
        <v>63.65</v>
      </c>
      <c r="N15" s="9">
        <v>99.78</v>
      </c>
      <c r="O15" s="9">
        <v>5.81</v>
      </c>
      <c r="P15" s="9">
        <v>46.41</v>
      </c>
      <c r="Q15" s="9">
        <v>43.92</v>
      </c>
      <c r="R15" s="9">
        <v>17.36</v>
      </c>
      <c r="S15" s="9">
        <v>63.77</v>
      </c>
      <c r="T15" s="9">
        <v>99.78</v>
      </c>
      <c r="U15" s="9">
        <v>5.54</v>
      </c>
      <c r="V15" s="9">
        <v>46.59</v>
      </c>
      <c r="W15" s="9">
        <v>44.11</v>
      </c>
      <c r="X15" s="9">
        <v>17.3</v>
      </c>
      <c r="Y15" s="9">
        <v>63.89</v>
      </c>
      <c r="Z15" s="9">
        <v>99.78</v>
      </c>
      <c r="AA15" s="9">
        <v>0.73</v>
      </c>
      <c r="AB15" s="9">
        <v>47.52</v>
      </c>
      <c r="AC15" s="9">
        <v>44.26</v>
      </c>
      <c r="AD15" s="9">
        <v>16.45</v>
      </c>
      <c r="AE15" s="9">
        <v>63.98</v>
      </c>
      <c r="AF15" s="9">
        <v>99.78</v>
      </c>
      <c r="AG15" s="9">
        <v>5.04</v>
      </c>
      <c r="AH15" s="9">
        <v>53.9</v>
      </c>
      <c r="AI15" s="9">
        <v>50.45</v>
      </c>
      <c r="AJ15" s="9">
        <v>10.649999999999999</v>
      </c>
      <c r="AK15" s="9">
        <v>64.55</v>
      </c>
      <c r="AL15" s="9">
        <v>99.78</v>
      </c>
      <c r="AM15" s="9">
        <v>5.13</v>
      </c>
      <c r="AN15" s="9">
        <v>59.07</v>
      </c>
      <c r="AO15" s="9">
        <v>58.11</v>
      </c>
      <c r="AP15" s="9">
        <v>5.48</v>
      </c>
      <c r="AQ15" s="9">
        <v>64.55</v>
      </c>
      <c r="AR15" s="9">
        <v>99.8</v>
      </c>
      <c r="AS15" s="9">
        <v>4.3600000000000003</v>
      </c>
      <c r="AT15" s="9">
        <v>59.23</v>
      </c>
      <c r="AU15" s="9">
        <v>58.26</v>
      </c>
      <c r="AV15" s="9">
        <v>4.95</v>
      </c>
      <c r="AW15" s="9">
        <v>64.180000000000007</v>
      </c>
      <c r="AX15" s="9">
        <v>99.8</v>
      </c>
      <c r="AY15" s="9">
        <v>4.3099999999999996</v>
      </c>
      <c r="AZ15" s="9">
        <v>59.72</v>
      </c>
      <c r="BA15" s="9">
        <v>58.91</v>
      </c>
      <c r="BB15" s="9">
        <v>4.92</v>
      </c>
      <c r="BC15" s="9">
        <v>64.650000000000006</v>
      </c>
      <c r="BD15" s="9">
        <v>99.77</v>
      </c>
      <c r="BE15" s="9">
        <v>4.87</v>
      </c>
      <c r="BF15" s="9">
        <v>60.39</v>
      </c>
      <c r="BG15" s="9">
        <v>59.57</v>
      </c>
      <c r="BH15" s="9">
        <v>4.57</v>
      </c>
      <c r="BI15" s="9">
        <v>64.959999999999994</v>
      </c>
      <c r="BJ15" s="9">
        <v>99.76</v>
      </c>
      <c r="BK15" s="9">
        <v>3.17</v>
      </c>
      <c r="BL15" s="9">
        <v>59.78</v>
      </c>
      <c r="BM15" s="9">
        <v>58.95</v>
      </c>
      <c r="BN15" s="9">
        <v>4.7699999999999996</v>
      </c>
      <c r="BO15" s="9">
        <v>64.55</v>
      </c>
      <c r="BP15" s="9">
        <v>99.74</v>
      </c>
      <c r="BQ15" s="9">
        <v>4.18</v>
      </c>
      <c r="BR15" s="9">
        <v>60.29</v>
      </c>
      <c r="BS15" s="9">
        <v>59.92</v>
      </c>
      <c r="BT15" s="9">
        <v>3.53</v>
      </c>
      <c r="BU15" s="9">
        <v>63.82</v>
      </c>
      <c r="BV15" s="9">
        <v>99.73</v>
      </c>
      <c r="BW15" s="9">
        <v>3.51</v>
      </c>
      <c r="BX15" s="9">
        <v>60.49</v>
      </c>
      <c r="BY15" s="9">
        <v>59.66</v>
      </c>
      <c r="BZ15" s="9">
        <v>3.55</v>
      </c>
      <c r="CA15" s="9">
        <v>64.040000000000006</v>
      </c>
      <c r="CB15" s="9">
        <v>99.77</v>
      </c>
      <c r="CC15" s="9">
        <v>5.08</v>
      </c>
      <c r="CD15" s="9">
        <v>60.94</v>
      </c>
      <c r="CE15" s="9">
        <v>60.11</v>
      </c>
      <c r="CF15" s="9">
        <v>3.33</v>
      </c>
      <c r="CG15" s="9">
        <v>64.27</v>
      </c>
      <c r="CH15" s="9">
        <v>99.76</v>
      </c>
      <c r="CI15" s="9">
        <v>3.4</v>
      </c>
      <c r="CJ15" s="9">
        <v>60.9</v>
      </c>
      <c r="CK15" s="9">
        <v>60.06</v>
      </c>
      <c r="CL15" s="9">
        <f t="shared" si="0"/>
        <v>3.3600000000000065</v>
      </c>
      <c r="CM15" s="9">
        <v>64.260000000000005</v>
      </c>
      <c r="CN15" s="64"/>
    </row>
    <row r="16" spans="1:92" s="11" customFormat="1" ht="12.95" customHeight="1" thickBot="1">
      <c r="A16" s="42" t="s">
        <v>21</v>
      </c>
      <c r="B16" s="43">
        <v>99.63</v>
      </c>
      <c r="C16" s="43">
        <v>1.03</v>
      </c>
      <c r="D16" s="43">
        <v>41.25</v>
      </c>
      <c r="E16" s="43">
        <v>39.369999999999997</v>
      </c>
      <c r="F16" s="43">
        <v>21.55</v>
      </c>
      <c r="G16" s="43">
        <v>62.79</v>
      </c>
      <c r="H16" s="43">
        <v>99.75</v>
      </c>
      <c r="I16" s="43">
        <v>1.78</v>
      </c>
      <c r="J16" s="43">
        <v>43.89</v>
      </c>
      <c r="K16" s="43">
        <v>42.18</v>
      </c>
      <c r="L16" s="43">
        <v>22.34</v>
      </c>
      <c r="M16" s="43">
        <v>66.23</v>
      </c>
      <c r="N16" s="43">
        <v>99.75</v>
      </c>
      <c r="O16" s="43">
        <v>5.97</v>
      </c>
      <c r="P16" s="43">
        <v>44.17</v>
      </c>
      <c r="Q16" s="43">
        <v>42.45</v>
      </c>
      <c r="R16" s="43">
        <v>22.24</v>
      </c>
      <c r="S16" s="43">
        <v>66.41</v>
      </c>
      <c r="T16" s="43">
        <v>99.75</v>
      </c>
      <c r="U16" s="43">
        <v>5.45</v>
      </c>
      <c r="V16" s="43">
        <v>44.49</v>
      </c>
      <c r="W16" s="43">
        <v>42.75</v>
      </c>
      <c r="X16" s="43">
        <v>22.15</v>
      </c>
      <c r="Y16" s="43">
        <v>66.63</v>
      </c>
      <c r="Z16" s="43">
        <v>99.75</v>
      </c>
      <c r="AA16" s="43">
        <v>2.4300000000000002</v>
      </c>
      <c r="AB16" s="43">
        <v>44.77</v>
      </c>
      <c r="AC16" s="43">
        <v>43.01</v>
      </c>
      <c r="AD16" s="43">
        <v>22</v>
      </c>
      <c r="AE16" s="43">
        <v>66.760000000000005</v>
      </c>
      <c r="AF16" s="43">
        <v>99.75</v>
      </c>
      <c r="AG16" s="43">
        <v>3.6</v>
      </c>
      <c r="AH16" s="43">
        <v>61.72</v>
      </c>
      <c r="AI16" s="43">
        <v>59.95</v>
      </c>
      <c r="AJ16" s="43">
        <v>6.460000000000008</v>
      </c>
      <c r="AK16" s="43">
        <v>68.180000000000007</v>
      </c>
      <c r="AL16" s="43">
        <v>99.75</v>
      </c>
      <c r="AM16" s="43">
        <v>2.83</v>
      </c>
      <c r="AN16" s="43">
        <v>58.61</v>
      </c>
      <c r="AO16" s="43">
        <v>58.61</v>
      </c>
      <c r="AP16" s="43">
        <v>9.6300000000000008</v>
      </c>
      <c r="AQ16" s="43">
        <v>68.239999999999995</v>
      </c>
      <c r="AR16" s="43">
        <v>99.81</v>
      </c>
      <c r="AS16" s="43">
        <v>0.36</v>
      </c>
      <c r="AT16" s="43">
        <v>58.88</v>
      </c>
      <c r="AU16" s="43">
        <v>58.88</v>
      </c>
      <c r="AV16" s="43">
        <v>8.2100000000000009</v>
      </c>
      <c r="AW16" s="43">
        <v>67.099999999999994</v>
      </c>
      <c r="AX16" s="43">
        <v>99.82</v>
      </c>
      <c r="AY16" s="43">
        <v>0.37</v>
      </c>
      <c r="AZ16" s="43">
        <v>60.21</v>
      </c>
      <c r="BA16" s="43">
        <v>60.21</v>
      </c>
      <c r="BB16" s="43">
        <v>8.1999999999999993</v>
      </c>
      <c r="BC16" s="43">
        <v>68.41</v>
      </c>
      <c r="BD16" s="43">
        <v>99.79</v>
      </c>
      <c r="BE16" s="43">
        <v>3.28</v>
      </c>
      <c r="BF16" s="43">
        <v>62.28</v>
      </c>
      <c r="BG16" s="43">
        <v>62.28</v>
      </c>
      <c r="BH16" s="43">
        <v>7.07</v>
      </c>
      <c r="BI16" s="43">
        <v>69.349999999999994</v>
      </c>
      <c r="BJ16" s="43">
        <v>99.76</v>
      </c>
      <c r="BK16" s="43">
        <v>6.04</v>
      </c>
      <c r="BL16" s="43">
        <v>61.79</v>
      </c>
      <c r="BM16" s="43">
        <v>61.79</v>
      </c>
      <c r="BN16" s="43">
        <v>7.72</v>
      </c>
      <c r="BO16" s="43">
        <v>69.510000000000005</v>
      </c>
      <c r="BP16" s="43">
        <v>99.72</v>
      </c>
      <c r="BQ16" s="43">
        <v>6.78</v>
      </c>
      <c r="BR16" s="43">
        <v>61.84</v>
      </c>
      <c r="BS16" s="43">
        <v>61.84</v>
      </c>
      <c r="BT16" s="43">
        <v>6.91</v>
      </c>
      <c r="BU16" s="43">
        <v>68.33</v>
      </c>
      <c r="BV16" s="43">
        <v>99.75</v>
      </c>
      <c r="BW16" s="43">
        <v>4.7</v>
      </c>
      <c r="BX16" s="43">
        <v>61.25</v>
      </c>
      <c r="BY16" s="43">
        <v>61.25</v>
      </c>
      <c r="BZ16" s="43">
        <v>6.97</v>
      </c>
      <c r="CA16" s="43">
        <v>68.209999999999994</v>
      </c>
      <c r="CB16" s="43">
        <v>99.78</v>
      </c>
      <c r="CC16" s="43">
        <v>5.56</v>
      </c>
      <c r="CD16" s="43">
        <v>61.91</v>
      </c>
      <c r="CE16" s="43">
        <v>61.91</v>
      </c>
      <c r="CF16" s="43">
        <v>6.2</v>
      </c>
      <c r="CG16" s="43">
        <v>68.11</v>
      </c>
      <c r="CH16" s="43">
        <v>99.78</v>
      </c>
      <c r="CI16" s="43">
        <v>6.77</v>
      </c>
      <c r="CJ16" s="43">
        <v>61.88</v>
      </c>
      <c r="CK16" s="43">
        <v>61.88</v>
      </c>
      <c r="CL16" s="43">
        <f t="shared" si="0"/>
        <v>6.3500000000000014</v>
      </c>
      <c r="CM16" s="43">
        <v>68.23</v>
      </c>
      <c r="CN16" s="64"/>
    </row>
    <row r="17" spans="1:92" s="11" customFormat="1" ht="12.95" customHeight="1" thickBot="1">
      <c r="A17" s="42" t="s">
        <v>22</v>
      </c>
      <c r="B17" s="43">
        <v>98.42</v>
      </c>
      <c r="C17" s="43">
        <v>25.5</v>
      </c>
      <c r="D17" s="43">
        <v>64.959999999999994</v>
      </c>
      <c r="E17" s="43">
        <v>64.959999999999994</v>
      </c>
      <c r="F17" s="43">
        <v>18.43</v>
      </c>
      <c r="G17" s="43">
        <v>83.39</v>
      </c>
      <c r="H17" s="43">
        <v>98.98</v>
      </c>
      <c r="I17" s="43">
        <v>25.57</v>
      </c>
      <c r="J17" s="43">
        <v>66.569999999999993</v>
      </c>
      <c r="K17" s="43">
        <v>66.569999999999993</v>
      </c>
      <c r="L17" s="43">
        <v>18.399999999999999</v>
      </c>
      <c r="M17" s="43">
        <v>84.98</v>
      </c>
      <c r="N17" s="43">
        <v>99</v>
      </c>
      <c r="O17" s="43">
        <v>28.24</v>
      </c>
      <c r="P17" s="43">
        <v>66.72</v>
      </c>
      <c r="Q17" s="43">
        <v>66.72</v>
      </c>
      <c r="R17" s="43">
        <v>18.39</v>
      </c>
      <c r="S17" s="43">
        <v>85.1</v>
      </c>
      <c r="T17" s="43">
        <v>98.99</v>
      </c>
      <c r="U17" s="43">
        <v>27.55</v>
      </c>
      <c r="V17" s="43">
        <v>66.81</v>
      </c>
      <c r="W17" s="43">
        <v>66.81</v>
      </c>
      <c r="X17" s="43">
        <v>18.38</v>
      </c>
      <c r="Y17" s="43">
        <v>85.19</v>
      </c>
      <c r="Z17" s="43">
        <v>98.98</v>
      </c>
      <c r="AA17" s="43">
        <v>0</v>
      </c>
      <c r="AB17" s="43">
        <v>66.81</v>
      </c>
      <c r="AC17" s="43">
        <v>66.81</v>
      </c>
      <c r="AD17" s="43">
        <v>18.39</v>
      </c>
      <c r="AE17" s="43">
        <v>85.2</v>
      </c>
      <c r="AF17" s="43">
        <v>98.97</v>
      </c>
      <c r="AG17" s="43">
        <v>26.08</v>
      </c>
      <c r="AH17" s="43">
        <v>74.349999999999994</v>
      </c>
      <c r="AI17" s="43">
        <v>74.349999999999994</v>
      </c>
      <c r="AJ17" s="43">
        <v>10.75</v>
      </c>
      <c r="AK17" s="43">
        <v>85.1</v>
      </c>
      <c r="AL17" s="43">
        <v>98.96</v>
      </c>
      <c r="AM17" s="43">
        <v>28.5</v>
      </c>
      <c r="AN17" s="43">
        <v>74.260000000000005</v>
      </c>
      <c r="AO17" s="43">
        <v>74.260000000000005</v>
      </c>
      <c r="AP17" s="43">
        <v>10.74</v>
      </c>
      <c r="AQ17" s="43">
        <v>85.01</v>
      </c>
      <c r="AR17" s="43">
        <v>98.96</v>
      </c>
      <c r="AS17" s="43">
        <v>28.5</v>
      </c>
      <c r="AT17" s="43">
        <v>74.349999999999994</v>
      </c>
      <c r="AU17" s="43">
        <v>74.349999999999994</v>
      </c>
      <c r="AV17" s="43">
        <v>10.69</v>
      </c>
      <c r="AW17" s="43">
        <v>85.05</v>
      </c>
      <c r="AX17" s="43">
        <v>98.96</v>
      </c>
      <c r="AY17" s="43">
        <v>28.18</v>
      </c>
      <c r="AZ17" s="43">
        <v>74.47</v>
      </c>
      <c r="BA17" s="43">
        <v>74.47</v>
      </c>
      <c r="BB17" s="43">
        <v>10.61</v>
      </c>
      <c r="BC17" s="43">
        <v>85.08</v>
      </c>
      <c r="BD17" s="43">
        <v>98.8</v>
      </c>
      <c r="BE17" s="43">
        <v>28.39</v>
      </c>
      <c r="BF17" s="43">
        <v>74.510000000000005</v>
      </c>
      <c r="BG17" s="43">
        <v>74.510000000000005</v>
      </c>
      <c r="BH17" s="43">
        <v>10.55</v>
      </c>
      <c r="BI17" s="43">
        <v>85.06</v>
      </c>
      <c r="BJ17" s="43">
        <v>98.81</v>
      </c>
      <c r="BK17" s="43">
        <v>9.91</v>
      </c>
      <c r="BL17" s="43">
        <v>73.59</v>
      </c>
      <c r="BM17" s="43">
        <v>73.59</v>
      </c>
      <c r="BN17" s="43">
        <v>10.53</v>
      </c>
      <c r="BO17" s="43">
        <v>84.11</v>
      </c>
      <c r="BP17" s="43">
        <v>98.7</v>
      </c>
      <c r="BQ17" s="43">
        <v>8.36</v>
      </c>
      <c r="BR17" s="43">
        <v>72.75</v>
      </c>
      <c r="BS17" s="43">
        <v>72.75</v>
      </c>
      <c r="BT17" s="43">
        <v>10.51</v>
      </c>
      <c r="BU17" s="43">
        <v>83.26</v>
      </c>
      <c r="BV17" s="43">
        <v>98.6</v>
      </c>
      <c r="BW17" s="43">
        <v>9.16</v>
      </c>
      <c r="BX17" s="43">
        <v>72.5</v>
      </c>
      <c r="BY17" s="43">
        <v>72.5</v>
      </c>
      <c r="BZ17" s="43">
        <v>10.57</v>
      </c>
      <c r="CA17" s="43">
        <v>83.08</v>
      </c>
      <c r="CB17" s="43">
        <v>98.81</v>
      </c>
      <c r="CC17" s="43">
        <v>8.73</v>
      </c>
      <c r="CD17" s="43">
        <v>72.319999999999993</v>
      </c>
      <c r="CE17" s="43">
        <v>72.319999999999993</v>
      </c>
      <c r="CF17" s="43">
        <v>10.62</v>
      </c>
      <c r="CG17" s="43">
        <v>82.94</v>
      </c>
      <c r="CH17" s="43">
        <v>98.78</v>
      </c>
      <c r="CI17" s="43">
        <v>8.11</v>
      </c>
      <c r="CJ17" s="43">
        <v>72.239999999999995</v>
      </c>
      <c r="CK17" s="43">
        <v>72.239999999999995</v>
      </c>
      <c r="CL17" s="43">
        <f t="shared" si="0"/>
        <v>10.579999999999998</v>
      </c>
      <c r="CM17" s="43">
        <v>82.82</v>
      </c>
      <c r="CN17" s="64"/>
    </row>
    <row r="18" spans="1:92" s="11" customFormat="1" ht="12.95" customHeight="1" thickBot="1">
      <c r="A18" s="42" t="s">
        <v>23</v>
      </c>
      <c r="B18" s="43">
        <v>100</v>
      </c>
      <c r="C18" s="43">
        <v>0</v>
      </c>
      <c r="D18" s="43">
        <v>40.83</v>
      </c>
      <c r="E18" s="43">
        <v>27.96</v>
      </c>
      <c r="F18" s="43">
        <v>0</v>
      </c>
      <c r="G18" s="43">
        <v>40.83</v>
      </c>
      <c r="H18" s="43">
        <v>100</v>
      </c>
      <c r="I18" s="43">
        <v>0</v>
      </c>
      <c r="J18" s="43">
        <v>41.89</v>
      </c>
      <c r="K18" s="43">
        <v>28.83</v>
      </c>
      <c r="L18" s="43">
        <v>0</v>
      </c>
      <c r="M18" s="43">
        <v>41.89</v>
      </c>
      <c r="N18" s="43">
        <v>100</v>
      </c>
      <c r="O18" s="43">
        <v>0</v>
      </c>
      <c r="P18" s="43">
        <v>41.86</v>
      </c>
      <c r="Q18" s="43">
        <v>28.83</v>
      </c>
      <c r="R18" s="43">
        <v>0</v>
      </c>
      <c r="S18" s="43">
        <v>41.86</v>
      </c>
      <c r="T18" s="43">
        <v>100</v>
      </c>
      <c r="U18" s="43">
        <v>0</v>
      </c>
      <c r="V18" s="43">
        <v>41.82</v>
      </c>
      <c r="W18" s="43">
        <v>28.82</v>
      </c>
      <c r="X18" s="43">
        <v>0</v>
      </c>
      <c r="Y18" s="43">
        <v>41.82</v>
      </c>
      <c r="Z18" s="43">
        <v>100</v>
      </c>
      <c r="AA18" s="43">
        <v>0</v>
      </c>
      <c r="AB18" s="43">
        <v>41.82</v>
      </c>
      <c r="AC18" s="43">
        <v>28.85</v>
      </c>
      <c r="AD18" s="43">
        <v>0</v>
      </c>
      <c r="AE18" s="43">
        <v>41.82</v>
      </c>
      <c r="AF18" s="43">
        <v>100</v>
      </c>
      <c r="AG18" s="43">
        <v>2.25</v>
      </c>
      <c r="AH18" s="43">
        <v>41.79</v>
      </c>
      <c r="AI18" s="43">
        <v>28.88</v>
      </c>
      <c r="AJ18" s="43">
        <v>0</v>
      </c>
      <c r="AK18" s="43">
        <v>41.79</v>
      </c>
      <c r="AL18" s="43">
        <v>100</v>
      </c>
      <c r="AM18" s="43">
        <v>2.2400000000000002</v>
      </c>
      <c r="AN18" s="43">
        <v>41.78</v>
      </c>
      <c r="AO18" s="43">
        <v>41.78</v>
      </c>
      <c r="AP18" s="43">
        <v>0</v>
      </c>
      <c r="AQ18" s="43">
        <v>41.78</v>
      </c>
      <c r="AR18" s="43">
        <v>100</v>
      </c>
      <c r="AS18" s="43">
        <v>2.25</v>
      </c>
      <c r="AT18" s="43">
        <v>41.85</v>
      </c>
      <c r="AU18" s="43">
        <v>41.85</v>
      </c>
      <c r="AV18" s="43">
        <v>0</v>
      </c>
      <c r="AW18" s="43">
        <v>41.85</v>
      </c>
      <c r="AX18" s="43">
        <v>100</v>
      </c>
      <c r="AY18" s="43">
        <v>2.27</v>
      </c>
      <c r="AZ18" s="43">
        <v>41.91</v>
      </c>
      <c r="BA18" s="43">
        <v>41.91</v>
      </c>
      <c r="BB18" s="43">
        <v>0</v>
      </c>
      <c r="BC18" s="43">
        <v>41.91</v>
      </c>
      <c r="BD18" s="43">
        <v>100</v>
      </c>
      <c r="BE18" s="43">
        <v>0</v>
      </c>
      <c r="BF18" s="43">
        <v>41.89</v>
      </c>
      <c r="BG18" s="43">
        <v>41.89</v>
      </c>
      <c r="BH18" s="43">
        <v>0</v>
      </c>
      <c r="BI18" s="43">
        <v>41.89</v>
      </c>
      <c r="BJ18" s="43">
        <v>100</v>
      </c>
      <c r="BK18" s="43">
        <v>0</v>
      </c>
      <c r="BL18" s="43">
        <v>41.62</v>
      </c>
      <c r="BM18" s="43">
        <v>41.62</v>
      </c>
      <c r="BN18" s="43">
        <v>0</v>
      </c>
      <c r="BO18" s="43">
        <v>41.62</v>
      </c>
      <c r="BP18" s="43">
        <v>100</v>
      </c>
      <c r="BQ18" s="43">
        <v>0</v>
      </c>
      <c r="BR18" s="43">
        <v>41.91</v>
      </c>
      <c r="BS18" s="43">
        <v>41.91</v>
      </c>
      <c r="BT18" s="43">
        <v>0</v>
      </c>
      <c r="BU18" s="43">
        <v>41.45</v>
      </c>
      <c r="BV18" s="43">
        <v>100</v>
      </c>
      <c r="BW18" s="43">
        <v>0</v>
      </c>
      <c r="BX18" s="43">
        <v>42.08</v>
      </c>
      <c r="BY18" s="43">
        <v>42.08</v>
      </c>
      <c r="BZ18" s="43">
        <v>0</v>
      </c>
      <c r="CA18" s="43">
        <v>42.08</v>
      </c>
      <c r="CB18" s="43">
        <v>100</v>
      </c>
      <c r="CC18" s="43">
        <v>9.34</v>
      </c>
      <c r="CD18" s="43">
        <v>42.64</v>
      </c>
      <c r="CE18" s="43">
        <v>42.64</v>
      </c>
      <c r="CF18" s="43">
        <v>0</v>
      </c>
      <c r="CG18" s="43">
        <v>42.64</v>
      </c>
      <c r="CH18" s="43">
        <v>100</v>
      </c>
      <c r="CI18" s="43">
        <v>1.72</v>
      </c>
      <c r="CJ18" s="43">
        <v>42.48</v>
      </c>
      <c r="CK18" s="43">
        <v>42.48</v>
      </c>
      <c r="CL18" s="43">
        <f t="shared" si="0"/>
        <v>0</v>
      </c>
      <c r="CM18" s="43">
        <v>42.48</v>
      </c>
      <c r="CN18" s="64"/>
    </row>
    <row r="19" spans="1:92" s="11" customFormat="1" ht="12.95" customHeight="1" thickBot="1">
      <c r="A19" s="42" t="s">
        <v>24</v>
      </c>
      <c r="B19" s="43">
        <v>100</v>
      </c>
      <c r="C19" s="43">
        <v>0</v>
      </c>
      <c r="D19" s="43">
        <v>0</v>
      </c>
      <c r="E19" s="43">
        <v>0</v>
      </c>
      <c r="F19" s="43">
        <v>66.61</v>
      </c>
      <c r="G19" s="43">
        <v>66.61</v>
      </c>
      <c r="H19" s="43">
        <v>100</v>
      </c>
      <c r="I19" s="43">
        <v>0</v>
      </c>
      <c r="J19" s="43">
        <v>63.7</v>
      </c>
      <c r="K19" s="43">
        <v>63.7</v>
      </c>
      <c r="L19" s="43">
        <v>3.58</v>
      </c>
      <c r="M19" s="43">
        <v>67.28</v>
      </c>
      <c r="N19" s="43">
        <v>100</v>
      </c>
      <c r="O19" s="43">
        <v>0</v>
      </c>
      <c r="P19" s="43">
        <v>63.93</v>
      </c>
      <c r="Q19" s="43">
        <v>63.93</v>
      </c>
      <c r="R19" s="43">
        <v>3.56</v>
      </c>
      <c r="S19" s="43">
        <v>67.489999999999995</v>
      </c>
      <c r="T19" s="43">
        <v>100</v>
      </c>
      <c r="U19" s="43">
        <v>0</v>
      </c>
      <c r="V19" s="43">
        <v>64.19</v>
      </c>
      <c r="W19" s="43">
        <v>64.19</v>
      </c>
      <c r="X19" s="43">
        <v>3.54</v>
      </c>
      <c r="Y19" s="43">
        <v>67.73</v>
      </c>
      <c r="Z19" s="43">
        <v>100</v>
      </c>
      <c r="AA19" s="43">
        <v>0</v>
      </c>
      <c r="AB19" s="43">
        <v>64.459999999999994</v>
      </c>
      <c r="AC19" s="43">
        <v>64.459999999999994</v>
      </c>
      <c r="AD19" s="43">
        <v>3.51</v>
      </c>
      <c r="AE19" s="43">
        <v>67.97</v>
      </c>
      <c r="AF19" s="43">
        <v>100</v>
      </c>
      <c r="AG19" s="43">
        <v>0</v>
      </c>
      <c r="AH19" s="43">
        <v>64.59</v>
      </c>
      <c r="AI19" s="43">
        <v>64.59</v>
      </c>
      <c r="AJ19" s="43">
        <v>3.4799999999999898</v>
      </c>
      <c r="AK19" s="43">
        <v>68.069999999999993</v>
      </c>
      <c r="AL19" s="43">
        <v>100</v>
      </c>
      <c r="AM19" s="43">
        <v>0</v>
      </c>
      <c r="AN19" s="43">
        <v>68.180000000000007</v>
      </c>
      <c r="AO19" s="43">
        <v>68.180000000000007</v>
      </c>
      <c r="AP19" s="43">
        <v>0</v>
      </c>
      <c r="AQ19" s="43">
        <v>68.180000000000007</v>
      </c>
      <c r="AR19" s="43">
        <v>100</v>
      </c>
      <c r="AS19" s="43">
        <v>0</v>
      </c>
      <c r="AT19" s="43">
        <v>68.430000000000007</v>
      </c>
      <c r="AU19" s="43">
        <v>68.430000000000007</v>
      </c>
      <c r="AV19" s="43">
        <v>0</v>
      </c>
      <c r="AW19" s="43">
        <v>68.430000000000007</v>
      </c>
      <c r="AX19" s="43">
        <v>100</v>
      </c>
      <c r="AY19" s="43">
        <v>0</v>
      </c>
      <c r="AZ19" s="43">
        <v>68.680000000000007</v>
      </c>
      <c r="BA19" s="43">
        <v>68.680000000000007</v>
      </c>
      <c r="BB19" s="43">
        <v>0</v>
      </c>
      <c r="BC19" s="43">
        <v>68.680000000000007</v>
      </c>
      <c r="BD19" s="43">
        <v>100</v>
      </c>
      <c r="BE19" s="43">
        <v>0</v>
      </c>
      <c r="BF19" s="43">
        <v>68.87</v>
      </c>
      <c r="BG19" s="43">
        <v>68.87</v>
      </c>
      <c r="BH19" s="43">
        <v>0</v>
      </c>
      <c r="BI19" s="43">
        <v>68.87</v>
      </c>
      <c r="BJ19" s="43">
        <v>100</v>
      </c>
      <c r="BK19" s="43">
        <v>0</v>
      </c>
      <c r="BL19" s="43">
        <v>68</v>
      </c>
      <c r="BM19" s="43">
        <v>68</v>
      </c>
      <c r="BN19" s="43">
        <v>0</v>
      </c>
      <c r="BO19" s="43">
        <v>68</v>
      </c>
      <c r="BP19" s="43">
        <v>100</v>
      </c>
      <c r="BQ19" s="43">
        <v>0</v>
      </c>
      <c r="BR19" s="43">
        <v>67.58</v>
      </c>
      <c r="BS19" s="43">
        <v>67.58</v>
      </c>
      <c r="BT19" s="43">
        <v>0</v>
      </c>
      <c r="BU19" s="43">
        <v>67.290000000000006</v>
      </c>
      <c r="BV19" s="43">
        <v>100</v>
      </c>
      <c r="BW19" s="43">
        <v>0</v>
      </c>
      <c r="BX19" s="43">
        <v>67.81</v>
      </c>
      <c r="BY19" s="43">
        <v>67.81</v>
      </c>
      <c r="BZ19" s="43">
        <v>0</v>
      </c>
      <c r="CA19" s="43">
        <v>67.81</v>
      </c>
      <c r="CB19" s="43">
        <v>100</v>
      </c>
      <c r="CC19" s="43">
        <v>0</v>
      </c>
      <c r="CD19" s="43">
        <v>68.349999999999994</v>
      </c>
      <c r="CE19" s="43">
        <v>68.349999999999994</v>
      </c>
      <c r="CF19" s="43">
        <v>0</v>
      </c>
      <c r="CG19" s="43">
        <v>68.349999999999994</v>
      </c>
      <c r="CH19" s="43">
        <v>100</v>
      </c>
      <c r="CI19" s="43">
        <v>0</v>
      </c>
      <c r="CJ19" s="43">
        <v>68.42</v>
      </c>
      <c r="CK19" s="43">
        <v>68.42</v>
      </c>
      <c r="CL19" s="43">
        <f t="shared" si="0"/>
        <v>0</v>
      </c>
      <c r="CM19" s="43">
        <v>68.42</v>
      </c>
      <c r="CN19" s="64"/>
    </row>
    <row r="20" spans="1:92" s="11" customFormat="1" ht="12.95" customHeight="1" thickBot="1">
      <c r="A20" s="42" t="s">
        <v>25</v>
      </c>
      <c r="B20" s="43">
        <v>99.99</v>
      </c>
      <c r="C20" s="43">
        <v>0</v>
      </c>
      <c r="D20" s="43">
        <v>0</v>
      </c>
      <c r="E20" s="43">
        <v>0</v>
      </c>
      <c r="F20" s="43">
        <v>45.87</v>
      </c>
      <c r="G20" s="43">
        <v>45.87</v>
      </c>
      <c r="H20" s="43">
        <v>99.99</v>
      </c>
      <c r="I20" s="43">
        <v>0</v>
      </c>
      <c r="J20" s="43">
        <v>0.65</v>
      </c>
      <c r="K20" s="43">
        <v>0</v>
      </c>
      <c r="L20" s="43">
        <v>51.14</v>
      </c>
      <c r="M20" s="43">
        <v>51.79</v>
      </c>
      <c r="N20" s="43">
        <v>99.99</v>
      </c>
      <c r="O20" s="43">
        <v>0</v>
      </c>
      <c r="P20" s="43">
        <v>0.64</v>
      </c>
      <c r="Q20" s="43">
        <v>0</v>
      </c>
      <c r="R20" s="43">
        <v>51.09</v>
      </c>
      <c r="S20" s="43">
        <v>51.73</v>
      </c>
      <c r="T20" s="43">
        <v>99.99</v>
      </c>
      <c r="U20" s="43">
        <v>0</v>
      </c>
      <c r="V20" s="43">
        <v>0.63</v>
      </c>
      <c r="W20" s="43">
        <v>0</v>
      </c>
      <c r="X20" s="43">
        <v>50.96</v>
      </c>
      <c r="Y20" s="43">
        <v>51.59</v>
      </c>
      <c r="Z20" s="43">
        <v>99.99</v>
      </c>
      <c r="AA20" s="43">
        <v>0</v>
      </c>
      <c r="AB20" s="43">
        <v>6.22</v>
      </c>
      <c r="AC20" s="43">
        <v>0</v>
      </c>
      <c r="AD20" s="43">
        <v>45.26</v>
      </c>
      <c r="AE20" s="43">
        <v>51.48</v>
      </c>
      <c r="AF20" s="43">
        <v>99.99</v>
      </c>
      <c r="AG20" s="43">
        <v>0</v>
      </c>
      <c r="AH20" s="43">
        <v>7.57</v>
      </c>
      <c r="AI20" s="43">
        <v>0</v>
      </c>
      <c r="AJ20" s="43">
        <v>44.96</v>
      </c>
      <c r="AK20" s="43">
        <v>52.53</v>
      </c>
      <c r="AL20" s="43">
        <v>99.99</v>
      </c>
      <c r="AM20" s="43">
        <v>0</v>
      </c>
      <c r="AN20" s="43">
        <v>44.46</v>
      </c>
      <c r="AO20" s="43">
        <v>37.520000000000003</v>
      </c>
      <c r="AP20" s="43">
        <v>7.8</v>
      </c>
      <c r="AQ20" s="43">
        <v>52.26</v>
      </c>
      <c r="AR20" s="43">
        <v>99.99</v>
      </c>
      <c r="AS20" s="43">
        <v>0</v>
      </c>
      <c r="AT20" s="43">
        <v>44.4</v>
      </c>
      <c r="AU20" s="43">
        <v>37.42</v>
      </c>
      <c r="AV20" s="43">
        <v>7.12</v>
      </c>
      <c r="AW20" s="43">
        <v>51.52</v>
      </c>
      <c r="AX20" s="43">
        <v>99.99</v>
      </c>
      <c r="AY20" s="43">
        <v>0</v>
      </c>
      <c r="AZ20" s="43">
        <v>44.41</v>
      </c>
      <c r="BA20" s="43">
        <v>38.58</v>
      </c>
      <c r="BB20" s="43">
        <v>7.1</v>
      </c>
      <c r="BC20" s="43">
        <v>51.51</v>
      </c>
      <c r="BD20" s="43">
        <v>99.99</v>
      </c>
      <c r="BE20" s="43">
        <v>0</v>
      </c>
      <c r="BF20" s="43">
        <v>44.4</v>
      </c>
      <c r="BG20" s="43">
        <v>38.479999999999997</v>
      </c>
      <c r="BH20" s="43">
        <v>7.1</v>
      </c>
      <c r="BI20" s="43">
        <v>51.5</v>
      </c>
      <c r="BJ20" s="43">
        <v>99.99</v>
      </c>
      <c r="BK20" s="43">
        <v>0</v>
      </c>
      <c r="BL20" s="43">
        <v>44.08</v>
      </c>
      <c r="BM20" s="43">
        <v>38.119999999999997</v>
      </c>
      <c r="BN20" s="43">
        <v>7.11</v>
      </c>
      <c r="BO20" s="43">
        <v>51.19</v>
      </c>
      <c r="BP20" s="43">
        <v>99.99</v>
      </c>
      <c r="BQ20" s="43">
        <v>7.12</v>
      </c>
      <c r="BR20" s="43">
        <v>50.98</v>
      </c>
      <c r="BS20" s="43">
        <v>44.99</v>
      </c>
      <c r="BT20" s="43">
        <v>0</v>
      </c>
      <c r="BU20" s="43">
        <v>50.98</v>
      </c>
      <c r="BV20" s="43">
        <v>99.99</v>
      </c>
      <c r="BW20" s="43">
        <v>5.98</v>
      </c>
      <c r="BX20" s="43">
        <v>51.56</v>
      </c>
      <c r="BY20" s="43">
        <v>45.58</v>
      </c>
      <c r="BZ20" s="43">
        <v>0</v>
      </c>
      <c r="CA20" s="43">
        <v>51.56</v>
      </c>
      <c r="CB20" s="43">
        <v>99.99</v>
      </c>
      <c r="CC20" s="43">
        <v>5.99</v>
      </c>
      <c r="CD20" s="43">
        <v>52.19</v>
      </c>
      <c r="CE20" s="43">
        <v>46.2</v>
      </c>
      <c r="CF20" s="43">
        <v>0</v>
      </c>
      <c r="CG20" s="43">
        <v>52.19</v>
      </c>
      <c r="CH20" s="43">
        <v>99.99</v>
      </c>
      <c r="CI20" s="43">
        <v>0</v>
      </c>
      <c r="CJ20" s="43">
        <v>52.06</v>
      </c>
      <c r="CK20" s="43">
        <v>46.03</v>
      </c>
      <c r="CL20" s="43">
        <f t="shared" si="0"/>
        <v>0</v>
      </c>
      <c r="CM20" s="43">
        <v>52.06</v>
      </c>
      <c r="CN20" s="64"/>
    </row>
    <row r="21" spans="1:92" s="11" customFormat="1" ht="12.95" customHeight="1" thickBot="1">
      <c r="A21" s="41" t="s">
        <v>26</v>
      </c>
      <c r="B21" s="9">
        <v>99.91</v>
      </c>
      <c r="C21" s="9">
        <v>1.1499999999999999</v>
      </c>
      <c r="D21" s="9">
        <v>64.02</v>
      </c>
      <c r="E21" s="9">
        <v>52.92</v>
      </c>
      <c r="F21" s="9">
        <v>8.09</v>
      </c>
      <c r="G21" s="9">
        <v>72.12</v>
      </c>
      <c r="H21" s="9">
        <v>99.93</v>
      </c>
      <c r="I21" s="9">
        <v>1.1200000000000001</v>
      </c>
      <c r="J21" s="9">
        <v>69.760000000000005</v>
      </c>
      <c r="K21" s="9">
        <v>59.39</v>
      </c>
      <c r="L21" s="9">
        <v>4.2</v>
      </c>
      <c r="M21" s="9">
        <v>73.959999999999994</v>
      </c>
      <c r="N21" s="9">
        <v>99.93</v>
      </c>
      <c r="O21" s="9">
        <v>2.5</v>
      </c>
      <c r="P21" s="9">
        <v>70.16</v>
      </c>
      <c r="Q21" s="9">
        <v>59.81</v>
      </c>
      <c r="R21" s="9">
        <v>4.1900000000000004</v>
      </c>
      <c r="S21" s="9">
        <v>74.349999999999994</v>
      </c>
      <c r="T21" s="9">
        <v>99.93</v>
      </c>
      <c r="U21" s="9">
        <v>2.25</v>
      </c>
      <c r="V21" s="9">
        <v>70.28</v>
      </c>
      <c r="W21" s="9">
        <v>61.3</v>
      </c>
      <c r="X21" s="9">
        <v>4.22</v>
      </c>
      <c r="Y21" s="9">
        <v>74.5</v>
      </c>
      <c r="Z21" s="9">
        <v>99.94</v>
      </c>
      <c r="AA21" s="9">
        <v>1.42</v>
      </c>
      <c r="AB21" s="9">
        <v>70.33</v>
      </c>
      <c r="AC21" s="9">
        <v>61.38</v>
      </c>
      <c r="AD21" s="9">
        <v>4.24</v>
      </c>
      <c r="AE21" s="9">
        <v>74.569999999999993</v>
      </c>
      <c r="AF21" s="9">
        <v>99.94</v>
      </c>
      <c r="AG21" s="9">
        <v>1.1599999999999999</v>
      </c>
      <c r="AH21" s="9">
        <v>72.510000000000005</v>
      </c>
      <c r="AI21" s="9">
        <v>63.63</v>
      </c>
      <c r="AJ21" s="9">
        <v>2.0899999999999892</v>
      </c>
      <c r="AK21" s="9">
        <v>74.599999999999994</v>
      </c>
      <c r="AL21" s="9">
        <v>99.94</v>
      </c>
      <c r="AM21" s="9">
        <v>2.36</v>
      </c>
      <c r="AN21" s="9">
        <v>71.62</v>
      </c>
      <c r="AO21" s="9">
        <v>63.41</v>
      </c>
      <c r="AP21" s="9">
        <v>2.92</v>
      </c>
      <c r="AQ21" s="9">
        <v>74.540000000000006</v>
      </c>
      <c r="AR21" s="9">
        <v>99.94</v>
      </c>
      <c r="AS21" s="9">
        <v>3.01</v>
      </c>
      <c r="AT21" s="9">
        <v>71.81</v>
      </c>
      <c r="AU21" s="9">
        <v>71.81</v>
      </c>
      <c r="AV21" s="9">
        <v>2.69</v>
      </c>
      <c r="AW21" s="9">
        <v>74.5</v>
      </c>
      <c r="AX21" s="9">
        <v>99.94</v>
      </c>
      <c r="AY21" s="9">
        <v>2.1800000000000002</v>
      </c>
      <c r="AZ21" s="9">
        <v>72.56</v>
      </c>
      <c r="BA21" s="9">
        <v>72.56</v>
      </c>
      <c r="BB21" s="9">
        <v>2.0699999999999998</v>
      </c>
      <c r="BC21" s="9">
        <v>74.62</v>
      </c>
      <c r="BD21" s="9">
        <v>99.94</v>
      </c>
      <c r="BE21" s="9">
        <v>4.1100000000000003</v>
      </c>
      <c r="BF21" s="9">
        <v>72.569999999999993</v>
      </c>
      <c r="BG21" s="9">
        <v>72.569999999999993</v>
      </c>
      <c r="BH21" s="9">
        <v>1.86</v>
      </c>
      <c r="BI21" s="9">
        <v>74.42</v>
      </c>
      <c r="BJ21" s="9">
        <v>99.94</v>
      </c>
      <c r="BK21" s="9">
        <v>5.6</v>
      </c>
      <c r="BL21" s="9">
        <v>72.209999999999994</v>
      </c>
      <c r="BM21" s="9">
        <v>72.209999999999994</v>
      </c>
      <c r="BN21" s="9">
        <v>1.86</v>
      </c>
      <c r="BO21" s="9">
        <v>74.069999999999993</v>
      </c>
      <c r="BP21" s="9">
        <v>99.94</v>
      </c>
      <c r="BQ21" s="9">
        <v>4.57</v>
      </c>
      <c r="BR21" s="9">
        <v>71.59</v>
      </c>
      <c r="BS21" s="9">
        <v>71.34</v>
      </c>
      <c r="BT21" s="9">
        <v>1.86</v>
      </c>
      <c r="BU21" s="9">
        <v>73.650000000000006</v>
      </c>
      <c r="BV21" s="9">
        <v>99.95</v>
      </c>
      <c r="BW21" s="9">
        <v>3.25</v>
      </c>
      <c r="BX21" s="9">
        <v>72.95</v>
      </c>
      <c r="BY21" s="9">
        <v>72.83</v>
      </c>
      <c r="BZ21" s="9">
        <v>1.77</v>
      </c>
      <c r="CA21" s="9">
        <v>74.72</v>
      </c>
      <c r="CB21" s="9">
        <v>99.95</v>
      </c>
      <c r="CC21" s="9">
        <v>3.8</v>
      </c>
      <c r="CD21" s="9">
        <v>73.81</v>
      </c>
      <c r="CE21" s="9">
        <v>73.7</v>
      </c>
      <c r="CF21" s="9">
        <v>1.82</v>
      </c>
      <c r="CG21" s="9">
        <v>75.63</v>
      </c>
      <c r="CH21" s="9">
        <v>99.91</v>
      </c>
      <c r="CI21" s="9">
        <v>6.51</v>
      </c>
      <c r="CJ21" s="9">
        <v>73.87</v>
      </c>
      <c r="CK21" s="9">
        <v>73.75</v>
      </c>
      <c r="CL21" s="9">
        <f t="shared" si="0"/>
        <v>1.9699999999999989</v>
      </c>
      <c r="CM21" s="9">
        <v>75.84</v>
      </c>
      <c r="CN21" s="64"/>
    </row>
    <row r="22" spans="1:92" s="11" customFormat="1" ht="12.95" customHeight="1" thickBot="1">
      <c r="A22" s="42" t="s">
        <v>27</v>
      </c>
      <c r="B22" s="43">
        <v>100</v>
      </c>
      <c r="C22" s="43">
        <v>0</v>
      </c>
      <c r="D22" s="43">
        <v>84.83</v>
      </c>
      <c r="E22" s="43">
        <v>81.34</v>
      </c>
      <c r="F22" s="43">
        <v>0</v>
      </c>
      <c r="G22" s="43">
        <v>84.83</v>
      </c>
      <c r="H22" s="43">
        <v>100</v>
      </c>
      <c r="I22" s="43">
        <v>0</v>
      </c>
      <c r="J22" s="43">
        <v>85.88</v>
      </c>
      <c r="K22" s="43">
        <v>83.11</v>
      </c>
      <c r="L22" s="43">
        <v>0</v>
      </c>
      <c r="M22" s="43">
        <v>85.88</v>
      </c>
      <c r="N22" s="43">
        <v>100</v>
      </c>
      <c r="O22" s="43">
        <v>0</v>
      </c>
      <c r="P22" s="43">
        <v>86.09</v>
      </c>
      <c r="Q22" s="43">
        <v>83.35</v>
      </c>
      <c r="R22" s="43">
        <v>0</v>
      </c>
      <c r="S22" s="43">
        <v>86.09</v>
      </c>
      <c r="T22" s="43">
        <v>100</v>
      </c>
      <c r="U22" s="43">
        <v>0</v>
      </c>
      <c r="V22" s="43">
        <v>86.21</v>
      </c>
      <c r="W22" s="43">
        <v>86.21</v>
      </c>
      <c r="X22" s="43">
        <v>0</v>
      </c>
      <c r="Y22" s="43">
        <v>86.21</v>
      </c>
      <c r="Z22" s="43">
        <v>100</v>
      </c>
      <c r="AA22" s="43">
        <v>0</v>
      </c>
      <c r="AB22" s="43">
        <v>86.21</v>
      </c>
      <c r="AC22" s="43">
        <v>86.21</v>
      </c>
      <c r="AD22" s="43">
        <v>0</v>
      </c>
      <c r="AE22" s="43">
        <v>86.21</v>
      </c>
      <c r="AF22" s="43">
        <v>100</v>
      </c>
      <c r="AG22" s="43">
        <v>0</v>
      </c>
      <c r="AH22" s="43">
        <v>86.33</v>
      </c>
      <c r="AI22" s="43">
        <v>86.33</v>
      </c>
      <c r="AJ22" s="43">
        <v>0</v>
      </c>
      <c r="AK22" s="43">
        <v>86.33</v>
      </c>
      <c r="AL22" s="43">
        <v>100</v>
      </c>
      <c r="AM22" s="43">
        <v>0</v>
      </c>
      <c r="AN22" s="43">
        <v>86.09</v>
      </c>
      <c r="AO22" s="43">
        <v>86.09</v>
      </c>
      <c r="AP22" s="43">
        <v>0.16</v>
      </c>
      <c r="AQ22" s="43">
        <v>86.25</v>
      </c>
      <c r="AR22" s="43">
        <v>100</v>
      </c>
      <c r="AS22" s="43">
        <v>0</v>
      </c>
      <c r="AT22" s="43">
        <v>86.22</v>
      </c>
      <c r="AU22" s="43">
        <v>86.22</v>
      </c>
      <c r="AV22" s="43">
        <v>0</v>
      </c>
      <c r="AW22" s="43">
        <v>86.22</v>
      </c>
      <c r="AX22" s="43">
        <v>100</v>
      </c>
      <c r="AY22" s="43">
        <v>0</v>
      </c>
      <c r="AZ22" s="43">
        <v>86.38</v>
      </c>
      <c r="BA22" s="43">
        <v>86.38</v>
      </c>
      <c r="BB22" s="43">
        <v>0</v>
      </c>
      <c r="BC22" s="43">
        <v>86.38</v>
      </c>
      <c r="BD22" s="43">
        <v>100</v>
      </c>
      <c r="BE22" s="43">
        <v>0.62</v>
      </c>
      <c r="BF22" s="43">
        <v>86.51</v>
      </c>
      <c r="BG22" s="43">
        <v>86.51</v>
      </c>
      <c r="BH22" s="43">
        <v>0</v>
      </c>
      <c r="BI22" s="43">
        <v>86.51</v>
      </c>
      <c r="BJ22" s="43">
        <v>100</v>
      </c>
      <c r="BK22" s="43">
        <v>0.69</v>
      </c>
      <c r="BL22" s="43">
        <v>86.14</v>
      </c>
      <c r="BM22" s="43">
        <v>86.14</v>
      </c>
      <c r="BN22" s="43">
        <v>0</v>
      </c>
      <c r="BO22" s="43">
        <v>86.14</v>
      </c>
      <c r="BP22" s="43">
        <v>100</v>
      </c>
      <c r="BQ22" s="43">
        <v>0.85</v>
      </c>
      <c r="BR22" s="43">
        <v>85.6</v>
      </c>
      <c r="BS22" s="43">
        <v>85.11</v>
      </c>
      <c r="BT22" s="43">
        <v>0.47</v>
      </c>
      <c r="BU22" s="43">
        <v>85.77</v>
      </c>
      <c r="BV22" s="43">
        <v>100</v>
      </c>
      <c r="BW22" s="43">
        <v>0.99</v>
      </c>
      <c r="BX22" s="43">
        <v>86.15</v>
      </c>
      <c r="BY22" s="43">
        <v>85.92</v>
      </c>
      <c r="BZ22" s="43">
        <v>0.48</v>
      </c>
      <c r="CA22" s="43">
        <v>86.62</v>
      </c>
      <c r="CB22" s="43">
        <v>100</v>
      </c>
      <c r="CC22" s="43">
        <v>1.01</v>
      </c>
      <c r="CD22" s="43">
        <v>86.59</v>
      </c>
      <c r="CE22" s="43">
        <v>86.37</v>
      </c>
      <c r="CF22" s="43">
        <v>0.5</v>
      </c>
      <c r="CG22" s="43">
        <v>87.09</v>
      </c>
      <c r="CH22" s="43">
        <v>100</v>
      </c>
      <c r="CI22" s="43">
        <v>1.26</v>
      </c>
      <c r="CJ22" s="43">
        <v>86.68</v>
      </c>
      <c r="CK22" s="43">
        <v>86.47</v>
      </c>
      <c r="CL22" s="43">
        <f t="shared" si="0"/>
        <v>0.52999999999998693</v>
      </c>
      <c r="CM22" s="43">
        <v>87.21</v>
      </c>
      <c r="CN22" s="64"/>
    </row>
    <row r="23" spans="1:92" s="11" customFormat="1" ht="12.95" customHeight="1" thickBot="1">
      <c r="A23" s="42" t="s">
        <v>28</v>
      </c>
      <c r="B23" s="43">
        <v>99.83</v>
      </c>
      <c r="C23" s="43">
        <v>0</v>
      </c>
      <c r="D23" s="43">
        <v>67.7</v>
      </c>
      <c r="E23" s="43">
        <v>64.34</v>
      </c>
      <c r="F23" s="43">
        <v>0</v>
      </c>
      <c r="G23" s="43">
        <v>67.7</v>
      </c>
      <c r="H23" s="43">
        <v>99.89</v>
      </c>
      <c r="I23" s="43">
        <v>0</v>
      </c>
      <c r="J23" s="43">
        <v>69.42</v>
      </c>
      <c r="K23" s="43">
        <v>66.23</v>
      </c>
      <c r="L23" s="43">
        <v>0</v>
      </c>
      <c r="M23" s="43">
        <v>69.42</v>
      </c>
      <c r="N23" s="43">
        <v>99.89</v>
      </c>
      <c r="O23" s="43">
        <v>0</v>
      </c>
      <c r="P23" s="43">
        <v>70.739999999999995</v>
      </c>
      <c r="Q23" s="43">
        <v>67.55</v>
      </c>
      <c r="R23" s="43">
        <v>0</v>
      </c>
      <c r="S23" s="43">
        <v>70.739999999999995</v>
      </c>
      <c r="T23" s="43">
        <v>99.88</v>
      </c>
      <c r="U23" s="43">
        <v>0</v>
      </c>
      <c r="V23" s="43">
        <v>70.83</v>
      </c>
      <c r="W23" s="43">
        <v>67.62</v>
      </c>
      <c r="X23" s="43">
        <v>0</v>
      </c>
      <c r="Y23" s="43">
        <v>70.83</v>
      </c>
      <c r="Z23" s="43">
        <v>99.88</v>
      </c>
      <c r="AA23" s="43">
        <v>0</v>
      </c>
      <c r="AB23" s="43">
        <v>70.849999999999994</v>
      </c>
      <c r="AC23" s="43">
        <v>67.64</v>
      </c>
      <c r="AD23" s="43">
        <v>0</v>
      </c>
      <c r="AE23" s="43">
        <v>70.849999999999994</v>
      </c>
      <c r="AF23" s="43">
        <v>99.88</v>
      </c>
      <c r="AG23" s="43">
        <v>0</v>
      </c>
      <c r="AH23" s="43">
        <v>70.72</v>
      </c>
      <c r="AI23" s="43">
        <v>67.510000000000005</v>
      </c>
      <c r="AJ23" s="43">
        <v>0</v>
      </c>
      <c r="AK23" s="43">
        <v>70.72</v>
      </c>
      <c r="AL23" s="43">
        <v>99.88</v>
      </c>
      <c r="AM23" s="43">
        <v>0.14000000000000001</v>
      </c>
      <c r="AN23" s="43">
        <v>67.47</v>
      </c>
      <c r="AO23" s="43">
        <v>67.47</v>
      </c>
      <c r="AP23" s="43">
        <v>3.23</v>
      </c>
      <c r="AQ23" s="43">
        <v>70.7</v>
      </c>
      <c r="AR23" s="43">
        <v>99.89</v>
      </c>
      <c r="AS23" s="43">
        <v>0.14000000000000001</v>
      </c>
      <c r="AT23" s="43">
        <v>67.599999999999994</v>
      </c>
      <c r="AU23" s="43">
        <v>67.599999999999994</v>
      </c>
      <c r="AV23" s="43">
        <v>3.23</v>
      </c>
      <c r="AW23" s="43">
        <v>70.83</v>
      </c>
      <c r="AX23" s="43">
        <v>99.89</v>
      </c>
      <c r="AY23" s="43">
        <v>0.14000000000000001</v>
      </c>
      <c r="AZ23" s="43">
        <v>70.94</v>
      </c>
      <c r="BA23" s="43">
        <v>70.94</v>
      </c>
      <c r="BB23" s="43">
        <v>0</v>
      </c>
      <c r="BC23" s="43">
        <v>70.94</v>
      </c>
      <c r="BD23" s="43">
        <v>99.87</v>
      </c>
      <c r="BE23" s="43">
        <v>0.14000000000000001</v>
      </c>
      <c r="BF23" s="43">
        <v>70.91</v>
      </c>
      <c r="BG23" s="43">
        <v>70.91</v>
      </c>
      <c r="BH23" s="43">
        <v>0</v>
      </c>
      <c r="BI23" s="43">
        <v>70.91</v>
      </c>
      <c r="BJ23" s="43">
        <v>99.88</v>
      </c>
      <c r="BK23" s="43">
        <v>0.15</v>
      </c>
      <c r="BL23" s="43">
        <v>70.7</v>
      </c>
      <c r="BM23" s="43">
        <v>70.7</v>
      </c>
      <c r="BN23" s="43">
        <v>0</v>
      </c>
      <c r="BO23" s="43">
        <v>70.7</v>
      </c>
      <c r="BP23" s="43">
        <v>99.9</v>
      </c>
      <c r="BQ23" s="43">
        <v>0.91</v>
      </c>
      <c r="BR23" s="43">
        <v>70.61</v>
      </c>
      <c r="BS23" s="43">
        <v>70.61</v>
      </c>
      <c r="BT23" s="43">
        <v>0</v>
      </c>
      <c r="BU23" s="43">
        <v>70.61</v>
      </c>
      <c r="BV23" s="43">
        <v>99.9</v>
      </c>
      <c r="BW23" s="43">
        <v>0</v>
      </c>
      <c r="BX23" s="43">
        <v>71.459999999999994</v>
      </c>
      <c r="BY23" s="43">
        <v>71.459999999999994</v>
      </c>
      <c r="BZ23" s="43">
        <v>0</v>
      </c>
      <c r="CA23" s="43">
        <v>71.459999999999994</v>
      </c>
      <c r="CB23" s="43">
        <v>99.91</v>
      </c>
      <c r="CC23" s="43">
        <v>0</v>
      </c>
      <c r="CD23" s="43">
        <v>72.22</v>
      </c>
      <c r="CE23" s="43">
        <v>72.22</v>
      </c>
      <c r="CF23" s="43">
        <v>0</v>
      </c>
      <c r="CG23" s="43">
        <v>72.22</v>
      </c>
      <c r="CH23" s="43">
        <v>99.92</v>
      </c>
      <c r="CI23" s="43">
        <v>0</v>
      </c>
      <c r="CJ23" s="43">
        <v>71.760000000000005</v>
      </c>
      <c r="CK23" s="43">
        <v>71.760000000000005</v>
      </c>
      <c r="CL23" s="43">
        <f t="shared" si="0"/>
        <v>0</v>
      </c>
      <c r="CM23" s="43">
        <v>71.760000000000005</v>
      </c>
      <c r="CN23" s="64"/>
    </row>
    <row r="24" spans="1:92" s="11" customFormat="1" ht="12.95" customHeight="1" thickBot="1">
      <c r="A24" s="42" t="s">
        <v>29</v>
      </c>
      <c r="B24" s="43">
        <v>99.9</v>
      </c>
      <c r="C24" s="43">
        <v>8.7799999999999994</v>
      </c>
      <c r="D24" s="43">
        <v>11.98</v>
      </c>
      <c r="E24" s="43">
        <v>11.98</v>
      </c>
      <c r="F24" s="43">
        <v>39.6</v>
      </c>
      <c r="G24" s="43">
        <v>51.57</v>
      </c>
      <c r="H24" s="43">
        <v>99.89</v>
      </c>
      <c r="I24" s="43">
        <v>8.94</v>
      </c>
      <c r="J24" s="43">
        <v>44.06</v>
      </c>
      <c r="K24" s="43">
        <v>44.06</v>
      </c>
      <c r="L24" s="43">
        <v>11.56</v>
      </c>
      <c r="M24" s="43">
        <v>55.63</v>
      </c>
      <c r="N24" s="43">
        <v>99.89</v>
      </c>
      <c r="O24" s="43">
        <v>17.89</v>
      </c>
      <c r="P24" s="43">
        <v>44.07</v>
      </c>
      <c r="Q24" s="43">
        <v>44.07</v>
      </c>
      <c r="R24" s="43">
        <v>11.6</v>
      </c>
      <c r="S24" s="43">
        <v>55.67</v>
      </c>
      <c r="T24" s="43">
        <v>99.89</v>
      </c>
      <c r="U24" s="43">
        <v>17.95</v>
      </c>
      <c r="V24" s="43">
        <v>44.11</v>
      </c>
      <c r="W24" s="43">
        <v>44.11</v>
      </c>
      <c r="X24" s="43">
        <v>11.94</v>
      </c>
      <c r="Y24" s="43">
        <v>56.05</v>
      </c>
      <c r="Z24" s="43">
        <v>99.94</v>
      </c>
      <c r="AA24" s="43">
        <v>11.32</v>
      </c>
      <c r="AB24" s="43">
        <v>44.11</v>
      </c>
      <c r="AC24" s="43">
        <v>44.11</v>
      </c>
      <c r="AD24" s="43">
        <v>12.29</v>
      </c>
      <c r="AE24" s="43">
        <v>56.39</v>
      </c>
      <c r="AF24" s="43">
        <v>99.94</v>
      </c>
      <c r="AG24" s="43">
        <v>8.8800000000000008</v>
      </c>
      <c r="AH24" s="43">
        <v>45.21</v>
      </c>
      <c r="AI24" s="43">
        <v>45.21</v>
      </c>
      <c r="AJ24" s="43">
        <v>11.420000000000002</v>
      </c>
      <c r="AK24" s="43">
        <v>56.63</v>
      </c>
      <c r="AL24" s="43">
        <v>99.94</v>
      </c>
      <c r="AM24" s="43">
        <v>12.02</v>
      </c>
      <c r="AN24" s="43">
        <v>43.85</v>
      </c>
      <c r="AO24" s="43">
        <v>43.85</v>
      </c>
      <c r="AP24" s="43">
        <v>12.68</v>
      </c>
      <c r="AQ24" s="43">
        <v>56.53</v>
      </c>
      <c r="AR24" s="43">
        <v>99.94</v>
      </c>
      <c r="AS24" s="43">
        <v>18.05</v>
      </c>
      <c r="AT24" s="43">
        <v>44.46</v>
      </c>
      <c r="AU24" s="43">
        <v>44.46</v>
      </c>
      <c r="AV24" s="43">
        <v>11.56</v>
      </c>
      <c r="AW24" s="43">
        <v>56.02</v>
      </c>
      <c r="AX24" s="43">
        <v>99.94</v>
      </c>
      <c r="AY24" s="43">
        <v>13.09</v>
      </c>
      <c r="AZ24" s="43">
        <v>44.65</v>
      </c>
      <c r="BA24" s="43">
        <v>44.65</v>
      </c>
      <c r="BB24" s="43">
        <v>11.53</v>
      </c>
      <c r="BC24" s="43">
        <v>56.17</v>
      </c>
      <c r="BD24" s="43">
        <v>99.96</v>
      </c>
      <c r="BE24" s="43">
        <v>20.58</v>
      </c>
      <c r="BF24" s="43">
        <v>44.3</v>
      </c>
      <c r="BG24" s="43">
        <v>44.3</v>
      </c>
      <c r="BH24" s="43">
        <v>9.84</v>
      </c>
      <c r="BI24" s="43">
        <v>54.14</v>
      </c>
      <c r="BJ24" s="43">
        <v>99.95</v>
      </c>
      <c r="BK24" s="43">
        <v>24.26</v>
      </c>
      <c r="BL24" s="43">
        <v>44.3</v>
      </c>
      <c r="BM24" s="43">
        <v>44.3</v>
      </c>
      <c r="BN24" s="43">
        <v>9.85</v>
      </c>
      <c r="BO24" s="43">
        <v>54.15</v>
      </c>
      <c r="BP24" s="43">
        <v>99.95</v>
      </c>
      <c r="BQ24" s="43">
        <v>26.67</v>
      </c>
      <c r="BR24" s="43">
        <v>44.9</v>
      </c>
      <c r="BS24" s="43">
        <v>44.9</v>
      </c>
      <c r="BT24" s="43">
        <v>7.82</v>
      </c>
      <c r="BU24" s="43">
        <v>52.72</v>
      </c>
      <c r="BV24" s="43">
        <v>99.95</v>
      </c>
      <c r="BW24" s="43">
        <v>19.04</v>
      </c>
      <c r="BX24" s="43">
        <v>46.36</v>
      </c>
      <c r="BY24" s="43">
        <v>46.36</v>
      </c>
      <c r="BZ24" s="43">
        <v>7.03</v>
      </c>
      <c r="CA24" s="43">
        <v>53.39</v>
      </c>
      <c r="CB24" s="43">
        <v>99.97</v>
      </c>
      <c r="CC24" s="43">
        <v>21.37</v>
      </c>
      <c r="CD24" s="43">
        <v>47.39</v>
      </c>
      <c r="CE24" s="43">
        <v>47.39</v>
      </c>
      <c r="CF24" s="43">
        <v>7.33</v>
      </c>
      <c r="CG24" s="43">
        <v>54.73</v>
      </c>
      <c r="CH24" s="43">
        <v>99.59</v>
      </c>
      <c r="CI24" s="43">
        <v>33.83</v>
      </c>
      <c r="CJ24" s="43">
        <v>47.88</v>
      </c>
      <c r="CK24" s="43">
        <v>47.88</v>
      </c>
      <c r="CL24" s="43">
        <f t="shared" si="0"/>
        <v>8.6199999999999974</v>
      </c>
      <c r="CM24" s="43">
        <v>56.5</v>
      </c>
      <c r="CN24" s="64"/>
    </row>
    <row r="25" spans="1:92" s="11" customFormat="1" ht="12.95" customHeight="1" thickBot="1">
      <c r="A25" s="42" t="s">
        <v>30</v>
      </c>
      <c r="B25" s="43">
        <v>99.78</v>
      </c>
      <c r="C25" s="43">
        <v>0</v>
      </c>
      <c r="D25" s="43">
        <v>44.82</v>
      </c>
      <c r="E25" s="43">
        <v>0</v>
      </c>
      <c r="F25" s="43">
        <v>14.91</v>
      </c>
      <c r="G25" s="43">
        <v>59.72</v>
      </c>
      <c r="H25" s="43">
        <v>99.8</v>
      </c>
      <c r="I25" s="43">
        <v>0</v>
      </c>
      <c r="J25" s="43">
        <v>44.8</v>
      </c>
      <c r="K25" s="43">
        <v>0</v>
      </c>
      <c r="L25" s="43">
        <v>14.75</v>
      </c>
      <c r="M25" s="43">
        <v>59.55</v>
      </c>
      <c r="N25" s="43">
        <v>99.81</v>
      </c>
      <c r="O25" s="43">
        <v>1.47</v>
      </c>
      <c r="P25" s="43">
        <v>44.82</v>
      </c>
      <c r="Q25" s="43">
        <v>0</v>
      </c>
      <c r="R25" s="43">
        <v>14.71</v>
      </c>
      <c r="S25" s="43">
        <v>59.53</v>
      </c>
      <c r="T25" s="43">
        <v>99.81</v>
      </c>
      <c r="U25" s="43">
        <v>0.14000000000000001</v>
      </c>
      <c r="V25" s="43">
        <v>44.79</v>
      </c>
      <c r="W25" s="43">
        <v>0</v>
      </c>
      <c r="X25" s="43">
        <v>14.69</v>
      </c>
      <c r="Y25" s="43">
        <v>59.48</v>
      </c>
      <c r="Z25" s="43">
        <v>99.81</v>
      </c>
      <c r="AA25" s="43">
        <v>0.15</v>
      </c>
      <c r="AB25" s="43">
        <v>44.68</v>
      </c>
      <c r="AC25" s="43">
        <v>0</v>
      </c>
      <c r="AD25" s="43">
        <v>14.63</v>
      </c>
      <c r="AE25" s="43">
        <v>59.31</v>
      </c>
      <c r="AF25" s="43">
        <v>99.81</v>
      </c>
      <c r="AG25" s="43">
        <v>0.41</v>
      </c>
      <c r="AH25" s="43">
        <v>55.21</v>
      </c>
      <c r="AI25" s="43">
        <v>10.8</v>
      </c>
      <c r="AJ25" s="43">
        <v>3.7100000000000009</v>
      </c>
      <c r="AK25" s="43">
        <v>58.92</v>
      </c>
      <c r="AL25" s="43">
        <v>99.82</v>
      </c>
      <c r="AM25" s="43">
        <v>4.72</v>
      </c>
      <c r="AN25" s="43">
        <v>54.94</v>
      </c>
      <c r="AO25" s="43">
        <v>10.77</v>
      </c>
      <c r="AP25" s="43">
        <v>3.69</v>
      </c>
      <c r="AQ25" s="43">
        <v>58.63</v>
      </c>
      <c r="AR25" s="43">
        <v>99.82</v>
      </c>
      <c r="AS25" s="43">
        <v>4.33</v>
      </c>
      <c r="AT25" s="43">
        <v>54.73</v>
      </c>
      <c r="AU25" s="43">
        <v>54.73</v>
      </c>
      <c r="AV25" s="43">
        <v>3.68</v>
      </c>
      <c r="AW25" s="43">
        <v>58.41</v>
      </c>
      <c r="AX25" s="43">
        <v>99.82</v>
      </c>
      <c r="AY25" s="43">
        <v>3.12</v>
      </c>
      <c r="AZ25" s="43">
        <v>54.53</v>
      </c>
      <c r="BA25" s="43">
        <v>54.53</v>
      </c>
      <c r="BB25" s="43">
        <v>3.67</v>
      </c>
      <c r="BC25" s="43">
        <v>58.2</v>
      </c>
      <c r="BD25" s="43">
        <v>99.81</v>
      </c>
      <c r="BE25" s="43">
        <v>7</v>
      </c>
      <c r="BF25" s="43">
        <v>54.39</v>
      </c>
      <c r="BG25" s="43">
        <v>54.39</v>
      </c>
      <c r="BH25" s="43">
        <v>3.64</v>
      </c>
      <c r="BI25" s="43">
        <v>58.03</v>
      </c>
      <c r="BJ25" s="43">
        <v>99.82</v>
      </c>
      <c r="BK25" s="43">
        <v>12.46</v>
      </c>
      <c r="BL25" s="43">
        <v>53.59</v>
      </c>
      <c r="BM25" s="43">
        <v>53.59</v>
      </c>
      <c r="BN25" s="43">
        <v>3.66</v>
      </c>
      <c r="BO25" s="43">
        <v>57.25</v>
      </c>
      <c r="BP25" s="43">
        <v>99.82</v>
      </c>
      <c r="BQ25" s="43">
        <v>4.29</v>
      </c>
      <c r="BR25" s="43">
        <v>53.03</v>
      </c>
      <c r="BS25" s="43">
        <v>53.03</v>
      </c>
      <c r="BT25" s="43">
        <v>3.69</v>
      </c>
      <c r="BU25" s="43">
        <v>56.71</v>
      </c>
      <c r="BV25" s="43">
        <v>99.84</v>
      </c>
      <c r="BW25" s="43">
        <v>2.72</v>
      </c>
      <c r="BX25" s="43">
        <v>54.25</v>
      </c>
      <c r="BY25" s="43">
        <v>54.25</v>
      </c>
      <c r="BZ25" s="43">
        <v>3.79</v>
      </c>
      <c r="CA25" s="43">
        <v>58.04</v>
      </c>
      <c r="CB25" s="43">
        <v>99.85</v>
      </c>
      <c r="CC25" s="43">
        <v>4.32</v>
      </c>
      <c r="CD25" s="43">
        <v>55.38</v>
      </c>
      <c r="CE25" s="43">
        <v>55.38</v>
      </c>
      <c r="CF25" s="43">
        <v>3.9</v>
      </c>
      <c r="CG25" s="43">
        <v>59.28</v>
      </c>
      <c r="CH25" s="43">
        <v>99.86</v>
      </c>
      <c r="CI25" s="43">
        <v>10.79</v>
      </c>
      <c r="CJ25" s="43">
        <v>55.1</v>
      </c>
      <c r="CK25" s="43">
        <v>55.1</v>
      </c>
      <c r="CL25" s="43">
        <f t="shared" si="0"/>
        <v>3.8599999999999994</v>
      </c>
      <c r="CM25" s="43">
        <v>58.96</v>
      </c>
      <c r="CN25" s="64"/>
    </row>
    <row r="26" spans="1:92" s="11" customFormat="1" ht="12.95" customHeight="1" thickBot="1">
      <c r="A26" s="41" t="s">
        <v>31</v>
      </c>
      <c r="B26" s="9">
        <v>99.73</v>
      </c>
      <c r="C26" s="9">
        <v>0.85</v>
      </c>
      <c r="D26" s="9">
        <v>39.08</v>
      </c>
      <c r="E26" s="9">
        <v>39.08</v>
      </c>
      <c r="F26" s="9">
        <v>28.49</v>
      </c>
      <c r="G26" s="9">
        <v>67.569999999999993</v>
      </c>
      <c r="H26" s="9">
        <v>99.82</v>
      </c>
      <c r="I26" s="9">
        <v>0.83</v>
      </c>
      <c r="J26" s="9">
        <v>53.19</v>
      </c>
      <c r="K26" s="9">
        <v>53.19</v>
      </c>
      <c r="L26" s="9">
        <v>18.11</v>
      </c>
      <c r="M26" s="9">
        <v>71.3</v>
      </c>
      <c r="N26" s="9">
        <v>99.87</v>
      </c>
      <c r="O26" s="9">
        <v>0.61</v>
      </c>
      <c r="P26" s="9">
        <v>53.3</v>
      </c>
      <c r="Q26" s="9">
        <v>53.3</v>
      </c>
      <c r="R26" s="9">
        <v>18.36</v>
      </c>
      <c r="S26" s="9">
        <v>71.66</v>
      </c>
      <c r="T26" s="9">
        <v>99.87</v>
      </c>
      <c r="U26" s="9">
        <v>1.03</v>
      </c>
      <c r="V26" s="9">
        <v>53.62</v>
      </c>
      <c r="W26" s="9">
        <v>53.62</v>
      </c>
      <c r="X26" s="9">
        <v>18.28</v>
      </c>
      <c r="Y26" s="9">
        <v>71.91</v>
      </c>
      <c r="Z26" s="9">
        <v>99.87</v>
      </c>
      <c r="AA26" s="9">
        <v>0.09</v>
      </c>
      <c r="AB26" s="9">
        <v>53.79</v>
      </c>
      <c r="AC26" s="9">
        <v>53.79</v>
      </c>
      <c r="AD26" s="9">
        <v>18.21</v>
      </c>
      <c r="AE26" s="9">
        <v>72</v>
      </c>
      <c r="AF26" s="9">
        <v>99.92</v>
      </c>
      <c r="AG26" s="9">
        <v>0.04</v>
      </c>
      <c r="AH26" s="9">
        <v>55.33</v>
      </c>
      <c r="AI26" s="9">
        <v>55.33</v>
      </c>
      <c r="AJ26" s="9">
        <v>17.549999999999997</v>
      </c>
      <c r="AK26" s="9">
        <v>72.88</v>
      </c>
      <c r="AL26" s="9">
        <v>99.92</v>
      </c>
      <c r="AM26" s="9">
        <v>0</v>
      </c>
      <c r="AN26" s="9">
        <v>55.47</v>
      </c>
      <c r="AO26" s="9">
        <v>55.47</v>
      </c>
      <c r="AP26" s="9">
        <v>17.440000000000001</v>
      </c>
      <c r="AQ26" s="9">
        <v>72.900000000000006</v>
      </c>
      <c r="AR26" s="9">
        <v>99.93</v>
      </c>
      <c r="AS26" s="9">
        <v>1.6</v>
      </c>
      <c r="AT26" s="9">
        <v>55.84</v>
      </c>
      <c r="AU26" s="9">
        <v>55.83</v>
      </c>
      <c r="AV26" s="9">
        <v>17.84</v>
      </c>
      <c r="AW26" s="9">
        <v>73.680000000000007</v>
      </c>
      <c r="AX26" s="9">
        <v>99.93</v>
      </c>
      <c r="AY26" s="9">
        <v>1.41</v>
      </c>
      <c r="AZ26" s="9">
        <v>56.06</v>
      </c>
      <c r="BA26" s="9">
        <v>56.05</v>
      </c>
      <c r="BB26" s="9">
        <v>17.75</v>
      </c>
      <c r="BC26" s="9">
        <v>73.81</v>
      </c>
      <c r="BD26" s="9">
        <v>99.93</v>
      </c>
      <c r="BE26" s="9">
        <v>2.17</v>
      </c>
      <c r="BF26" s="9">
        <v>56.24</v>
      </c>
      <c r="BG26" s="9">
        <v>56.24</v>
      </c>
      <c r="BH26" s="9">
        <v>17.2</v>
      </c>
      <c r="BI26" s="9">
        <v>73.44</v>
      </c>
      <c r="BJ26" s="9">
        <v>99.92</v>
      </c>
      <c r="BK26" s="9">
        <v>4.5199999999999996</v>
      </c>
      <c r="BL26" s="9">
        <v>66.63</v>
      </c>
      <c r="BM26" s="9">
        <v>66.63</v>
      </c>
      <c r="BN26" s="9">
        <v>12.22</v>
      </c>
      <c r="BO26" s="9">
        <v>73.08</v>
      </c>
      <c r="BP26" s="9">
        <v>99.91</v>
      </c>
      <c r="BQ26" s="9">
        <v>0.61</v>
      </c>
      <c r="BR26" s="9">
        <v>66.069999999999993</v>
      </c>
      <c r="BS26" s="9">
        <v>66.069999999999993</v>
      </c>
      <c r="BT26" s="9">
        <v>4.99</v>
      </c>
      <c r="BU26" s="9">
        <v>71.06</v>
      </c>
      <c r="BV26" s="9">
        <v>99.92</v>
      </c>
      <c r="BW26" s="9">
        <v>1.41</v>
      </c>
      <c r="BX26" s="9">
        <v>66.569999999999993</v>
      </c>
      <c r="BY26" s="9">
        <v>66.569999999999993</v>
      </c>
      <c r="BZ26" s="9">
        <v>5.0199999999999996</v>
      </c>
      <c r="CA26" s="9">
        <v>71.59</v>
      </c>
      <c r="CB26" s="9">
        <v>99.93</v>
      </c>
      <c r="CC26" s="9">
        <v>2.04</v>
      </c>
      <c r="CD26" s="9">
        <v>67.099999999999994</v>
      </c>
      <c r="CE26" s="9">
        <v>67.099999999999994</v>
      </c>
      <c r="CF26" s="9">
        <v>4.8</v>
      </c>
      <c r="CG26" s="9">
        <v>71.900000000000006</v>
      </c>
      <c r="CH26" s="9">
        <v>99.93</v>
      </c>
      <c r="CI26" s="9">
        <v>5.27</v>
      </c>
      <c r="CJ26" s="9">
        <v>67.14</v>
      </c>
      <c r="CK26" s="9">
        <v>67.14</v>
      </c>
      <c r="CL26" s="9">
        <f t="shared" si="0"/>
        <v>4.9000000000000057</v>
      </c>
      <c r="CM26" s="9">
        <v>72.040000000000006</v>
      </c>
      <c r="CN26" s="64"/>
    </row>
    <row r="27" spans="1:92" s="11" customFormat="1" ht="12.95" customHeight="1" thickBot="1">
      <c r="A27" s="42" t="s">
        <v>32</v>
      </c>
      <c r="B27" s="43">
        <v>99.66</v>
      </c>
      <c r="C27" s="43">
        <v>0</v>
      </c>
      <c r="D27" s="43">
        <v>58.73</v>
      </c>
      <c r="E27" s="43">
        <v>58.73</v>
      </c>
      <c r="F27" s="43">
        <v>12.21</v>
      </c>
      <c r="G27" s="43">
        <v>70.930000000000007</v>
      </c>
      <c r="H27" s="43">
        <v>99.81</v>
      </c>
      <c r="I27" s="43">
        <v>0</v>
      </c>
      <c r="J27" s="43">
        <v>60.57</v>
      </c>
      <c r="K27" s="43">
        <v>60.57</v>
      </c>
      <c r="L27" s="43">
        <v>14.93</v>
      </c>
      <c r="M27" s="43">
        <v>75.5</v>
      </c>
      <c r="N27" s="43">
        <v>99.94</v>
      </c>
      <c r="O27" s="43">
        <v>0</v>
      </c>
      <c r="P27" s="43">
        <v>60.67</v>
      </c>
      <c r="Q27" s="43">
        <v>60.67</v>
      </c>
      <c r="R27" s="43">
        <v>14.87</v>
      </c>
      <c r="S27" s="43">
        <v>75.540000000000006</v>
      </c>
      <c r="T27" s="43">
        <v>99.94</v>
      </c>
      <c r="U27" s="43">
        <v>0</v>
      </c>
      <c r="V27" s="43">
        <v>61.22</v>
      </c>
      <c r="W27" s="43">
        <v>61.22</v>
      </c>
      <c r="X27" s="43">
        <v>14.78</v>
      </c>
      <c r="Y27" s="43">
        <v>75.989999999999995</v>
      </c>
      <c r="Z27" s="43">
        <v>99.94</v>
      </c>
      <c r="AA27" s="43">
        <v>0.01</v>
      </c>
      <c r="AB27" s="43">
        <v>61.39</v>
      </c>
      <c r="AC27" s="43">
        <v>61.39</v>
      </c>
      <c r="AD27" s="43">
        <v>14.68</v>
      </c>
      <c r="AE27" s="43">
        <v>76.069999999999993</v>
      </c>
      <c r="AF27" s="43">
        <v>99.94</v>
      </c>
      <c r="AG27" s="43">
        <v>0</v>
      </c>
      <c r="AH27" s="43">
        <v>64.92</v>
      </c>
      <c r="AI27" s="43">
        <v>64.92</v>
      </c>
      <c r="AJ27" s="43">
        <v>13.549999999999997</v>
      </c>
      <c r="AK27" s="43">
        <v>78.47</v>
      </c>
      <c r="AL27" s="43">
        <v>99.94</v>
      </c>
      <c r="AM27" s="43">
        <v>0</v>
      </c>
      <c r="AN27" s="43">
        <v>65.150000000000006</v>
      </c>
      <c r="AO27" s="43">
        <v>65.150000000000006</v>
      </c>
      <c r="AP27" s="43">
        <v>13.46</v>
      </c>
      <c r="AQ27" s="43">
        <v>78.61</v>
      </c>
      <c r="AR27" s="43">
        <v>99.95</v>
      </c>
      <c r="AS27" s="43">
        <v>0</v>
      </c>
      <c r="AT27" s="43">
        <v>65.739999999999995</v>
      </c>
      <c r="AU27" s="43">
        <v>65.72</v>
      </c>
      <c r="AV27" s="43">
        <v>13.8</v>
      </c>
      <c r="AW27" s="43">
        <v>79.55</v>
      </c>
      <c r="AX27" s="43">
        <v>99.95</v>
      </c>
      <c r="AY27" s="43">
        <v>0</v>
      </c>
      <c r="AZ27" s="43">
        <v>65.930000000000007</v>
      </c>
      <c r="BA27" s="43">
        <v>65.900000000000006</v>
      </c>
      <c r="BB27" s="43">
        <v>13.75</v>
      </c>
      <c r="BC27" s="43">
        <v>79.67</v>
      </c>
      <c r="BD27" s="43">
        <v>99.94</v>
      </c>
      <c r="BE27" s="43">
        <v>0.28000000000000003</v>
      </c>
      <c r="BF27" s="43">
        <v>66.14</v>
      </c>
      <c r="BG27" s="43">
        <v>66.14</v>
      </c>
      <c r="BH27" s="43">
        <v>12.97</v>
      </c>
      <c r="BI27" s="43">
        <v>79.11</v>
      </c>
      <c r="BJ27" s="43">
        <v>99.94</v>
      </c>
      <c r="BK27" s="43">
        <v>2.39</v>
      </c>
      <c r="BL27" s="43">
        <v>70.989999999999995</v>
      </c>
      <c r="BM27" s="43">
        <v>70.989999999999995</v>
      </c>
      <c r="BN27" s="43">
        <v>8.2200000000000006</v>
      </c>
      <c r="BO27" s="43">
        <v>79.209999999999994</v>
      </c>
      <c r="BP27" s="43">
        <v>99.93</v>
      </c>
      <c r="BQ27" s="43">
        <v>0.2</v>
      </c>
      <c r="BR27" s="43">
        <v>71.05</v>
      </c>
      <c r="BS27" s="43">
        <v>71.05</v>
      </c>
      <c r="BT27" s="43">
        <v>7.43</v>
      </c>
      <c r="BU27" s="43">
        <v>78.45</v>
      </c>
      <c r="BV27" s="43">
        <v>99.93</v>
      </c>
      <c r="BW27" s="43">
        <v>0.37</v>
      </c>
      <c r="BX27" s="43">
        <v>71.78</v>
      </c>
      <c r="BY27" s="43">
        <v>71.78</v>
      </c>
      <c r="BZ27" s="43">
        <v>6.74</v>
      </c>
      <c r="CA27" s="43">
        <v>78.52</v>
      </c>
      <c r="CB27" s="43">
        <v>99.94</v>
      </c>
      <c r="CC27" s="43">
        <v>0.52</v>
      </c>
      <c r="CD27" s="43">
        <v>72.22</v>
      </c>
      <c r="CE27" s="43">
        <v>72.22</v>
      </c>
      <c r="CF27" s="43">
        <v>6.56</v>
      </c>
      <c r="CG27" s="43">
        <v>78.78</v>
      </c>
      <c r="CH27" s="43">
        <v>99.95</v>
      </c>
      <c r="CI27" s="43">
        <v>2.04</v>
      </c>
      <c r="CJ27" s="43">
        <v>72.63</v>
      </c>
      <c r="CK27" s="43">
        <v>72.63</v>
      </c>
      <c r="CL27" s="43">
        <f t="shared" si="0"/>
        <v>6.4100000000000108</v>
      </c>
      <c r="CM27" s="43">
        <v>79.040000000000006</v>
      </c>
      <c r="CN27" s="64"/>
    </row>
    <row r="28" spans="1:92" s="11" customFormat="1" ht="12.95" customHeight="1" thickBot="1">
      <c r="A28" s="42" t="s">
        <v>33</v>
      </c>
      <c r="B28" s="43">
        <v>99.92</v>
      </c>
      <c r="C28" s="43">
        <v>4.24</v>
      </c>
      <c r="D28" s="43">
        <v>57.32</v>
      </c>
      <c r="E28" s="43">
        <v>57.32</v>
      </c>
      <c r="F28" s="43">
        <v>3.02</v>
      </c>
      <c r="G28" s="43">
        <v>60.34</v>
      </c>
      <c r="H28" s="43">
        <v>99.95</v>
      </c>
      <c r="I28" s="43">
        <v>4.55</v>
      </c>
      <c r="J28" s="43">
        <v>57.67</v>
      </c>
      <c r="K28" s="43">
        <v>57.67</v>
      </c>
      <c r="L28" s="43">
        <v>7.65</v>
      </c>
      <c r="M28" s="43">
        <v>65.319999999999993</v>
      </c>
      <c r="N28" s="43">
        <v>99.95</v>
      </c>
      <c r="O28" s="43">
        <v>3.34</v>
      </c>
      <c r="P28" s="43">
        <v>57.58</v>
      </c>
      <c r="Q28" s="43">
        <v>57.58</v>
      </c>
      <c r="R28" s="43">
        <v>7.65</v>
      </c>
      <c r="S28" s="43">
        <v>65.23</v>
      </c>
      <c r="T28" s="43">
        <v>99.95</v>
      </c>
      <c r="U28" s="43">
        <v>5.64</v>
      </c>
      <c r="V28" s="43">
        <v>57.58</v>
      </c>
      <c r="W28" s="43">
        <v>57.58</v>
      </c>
      <c r="X28" s="43">
        <v>7.65</v>
      </c>
      <c r="Y28" s="43">
        <v>65.23</v>
      </c>
      <c r="Z28" s="43">
        <v>99.95</v>
      </c>
      <c r="AA28" s="43">
        <v>0.49</v>
      </c>
      <c r="AB28" s="43">
        <v>57.57</v>
      </c>
      <c r="AC28" s="43">
        <v>57.57</v>
      </c>
      <c r="AD28" s="43">
        <v>7.65</v>
      </c>
      <c r="AE28" s="43">
        <v>65.22</v>
      </c>
      <c r="AF28" s="43">
        <v>99.95</v>
      </c>
      <c r="AG28" s="43">
        <v>0</v>
      </c>
      <c r="AH28" s="43">
        <v>57.38</v>
      </c>
      <c r="AI28" s="43">
        <v>57.38</v>
      </c>
      <c r="AJ28" s="43">
        <v>7.6600000000000037</v>
      </c>
      <c r="AK28" s="43">
        <v>65.040000000000006</v>
      </c>
      <c r="AL28" s="43">
        <v>99.95</v>
      </c>
      <c r="AM28" s="43">
        <v>0</v>
      </c>
      <c r="AN28" s="43">
        <v>57.2</v>
      </c>
      <c r="AO28" s="43">
        <v>57.2</v>
      </c>
      <c r="AP28" s="43">
        <v>7.69</v>
      </c>
      <c r="AQ28" s="43">
        <v>64.89</v>
      </c>
      <c r="AR28" s="43">
        <v>99.95</v>
      </c>
      <c r="AS28" s="43">
        <v>6.99</v>
      </c>
      <c r="AT28" s="43">
        <v>57.28</v>
      </c>
      <c r="AU28" s="43">
        <v>57.28</v>
      </c>
      <c r="AV28" s="43">
        <v>7.91</v>
      </c>
      <c r="AW28" s="43">
        <v>65.19</v>
      </c>
      <c r="AX28" s="43">
        <v>99.95</v>
      </c>
      <c r="AY28" s="43">
        <v>7.79</v>
      </c>
      <c r="AZ28" s="43">
        <v>57.35</v>
      </c>
      <c r="BA28" s="43">
        <v>57.35</v>
      </c>
      <c r="BB28" s="43">
        <v>7.93</v>
      </c>
      <c r="BC28" s="43">
        <v>65.27</v>
      </c>
      <c r="BD28" s="43">
        <v>99.95</v>
      </c>
      <c r="BE28" s="43">
        <v>10.16</v>
      </c>
      <c r="BF28" s="43">
        <v>57.25</v>
      </c>
      <c r="BG28" s="43">
        <v>57.25</v>
      </c>
      <c r="BH28" s="43">
        <v>7.94</v>
      </c>
      <c r="BI28" s="43">
        <v>65.19</v>
      </c>
      <c r="BJ28" s="43">
        <v>99.96</v>
      </c>
      <c r="BK28" s="43">
        <v>11.81</v>
      </c>
      <c r="BL28" s="43">
        <v>56.87</v>
      </c>
      <c r="BM28" s="43">
        <v>56.87</v>
      </c>
      <c r="BN28" s="43">
        <v>7.95</v>
      </c>
      <c r="BO28" s="43">
        <v>64.819999999999993</v>
      </c>
      <c r="BP28" s="43">
        <v>99.96</v>
      </c>
      <c r="BQ28" s="43">
        <v>2.16</v>
      </c>
      <c r="BR28" s="43">
        <v>56.65</v>
      </c>
      <c r="BS28" s="43">
        <v>56.65</v>
      </c>
      <c r="BT28" s="43">
        <v>5.98</v>
      </c>
      <c r="BU28" s="43">
        <v>62.63</v>
      </c>
      <c r="BV28" s="43">
        <v>99.96</v>
      </c>
      <c r="BW28" s="43">
        <v>7.03</v>
      </c>
      <c r="BX28" s="43">
        <v>56.42</v>
      </c>
      <c r="BY28" s="43">
        <v>56.42</v>
      </c>
      <c r="BZ28" s="43">
        <v>6.12</v>
      </c>
      <c r="CA28" s="43">
        <v>62.55</v>
      </c>
      <c r="CB28" s="43">
        <v>99.97</v>
      </c>
      <c r="CC28" s="43">
        <v>9.64</v>
      </c>
      <c r="CD28" s="43">
        <v>56.12</v>
      </c>
      <c r="CE28" s="43">
        <v>56.12</v>
      </c>
      <c r="CF28" s="43">
        <v>6.25</v>
      </c>
      <c r="CG28" s="43">
        <v>62.37</v>
      </c>
      <c r="CH28" s="43">
        <v>99.97</v>
      </c>
      <c r="CI28" s="43">
        <v>17.8</v>
      </c>
      <c r="CJ28" s="43">
        <v>55.95</v>
      </c>
      <c r="CK28" s="43">
        <v>55.95</v>
      </c>
      <c r="CL28" s="43">
        <f t="shared" si="0"/>
        <v>6.2199999999999989</v>
      </c>
      <c r="CM28" s="43">
        <v>62.17</v>
      </c>
      <c r="CN28" s="64"/>
    </row>
    <row r="29" spans="1:92" s="11" customFormat="1" ht="12.95" customHeight="1" thickBot="1">
      <c r="A29" s="42" t="s">
        <v>34</v>
      </c>
      <c r="B29" s="43">
        <v>99.6</v>
      </c>
      <c r="C29" s="43">
        <v>0.23</v>
      </c>
      <c r="D29" s="43">
        <v>18.72</v>
      </c>
      <c r="E29" s="43">
        <v>18.72</v>
      </c>
      <c r="F29" s="43">
        <v>48.5</v>
      </c>
      <c r="G29" s="43">
        <v>67.22</v>
      </c>
      <c r="H29" s="43">
        <v>99.67</v>
      </c>
      <c r="I29" s="43">
        <v>0</v>
      </c>
      <c r="J29" s="43">
        <v>60.87</v>
      </c>
      <c r="K29" s="43">
        <v>60.87</v>
      </c>
      <c r="L29" s="43">
        <v>9.24</v>
      </c>
      <c r="M29" s="43">
        <v>70.11</v>
      </c>
      <c r="N29" s="43">
        <v>99.68</v>
      </c>
      <c r="O29" s="43">
        <v>0</v>
      </c>
      <c r="P29" s="43">
        <v>60.98</v>
      </c>
      <c r="Q29" s="43">
        <v>60.98</v>
      </c>
      <c r="R29" s="43">
        <v>10.220000000000001</v>
      </c>
      <c r="S29" s="43">
        <v>71.209999999999994</v>
      </c>
      <c r="T29" s="43">
        <v>99.69</v>
      </c>
      <c r="U29" s="43">
        <v>0</v>
      </c>
      <c r="V29" s="43">
        <v>61.18</v>
      </c>
      <c r="W29" s="43">
        <v>61.18</v>
      </c>
      <c r="X29" s="43">
        <v>10.17</v>
      </c>
      <c r="Y29" s="43">
        <v>71.34</v>
      </c>
      <c r="Z29" s="43">
        <v>99.7</v>
      </c>
      <c r="AA29" s="43">
        <v>0</v>
      </c>
      <c r="AB29" s="43">
        <v>61.34</v>
      </c>
      <c r="AC29" s="43">
        <v>61.34</v>
      </c>
      <c r="AD29" s="43">
        <v>10.119999999999999</v>
      </c>
      <c r="AE29" s="43">
        <v>71.459999999999994</v>
      </c>
      <c r="AF29" s="43">
        <v>99.86</v>
      </c>
      <c r="AG29" s="43">
        <v>0.13</v>
      </c>
      <c r="AH29" s="43">
        <v>61.34</v>
      </c>
      <c r="AI29" s="43">
        <v>61.34</v>
      </c>
      <c r="AJ29" s="43">
        <v>9.5699999999999932</v>
      </c>
      <c r="AK29" s="43">
        <v>70.91</v>
      </c>
      <c r="AL29" s="43">
        <v>99.86</v>
      </c>
      <c r="AM29" s="43">
        <v>0</v>
      </c>
      <c r="AN29" s="43">
        <v>61.4</v>
      </c>
      <c r="AO29" s="43">
        <v>61.4</v>
      </c>
      <c r="AP29" s="43">
        <v>9.49</v>
      </c>
      <c r="AQ29" s="43">
        <v>70.89</v>
      </c>
      <c r="AR29" s="43">
        <v>99.86</v>
      </c>
      <c r="AS29" s="43">
        <v>0.56000000000000005</v>
      </c>
      <c r="AT29" s="43">
        <v>61.61</v>
      </c>
      <c r="AU29" s="43">
        <v>61.61</v>
      </c>
      <c r="AV29" s="43">
        <v>10.31</v>
      </c>
      <c r="AW29" s="43">
        <v>71.92</v>
      </c>
      <c r="AX29" s="43">
        <v>99.88</v>
      </c>
      <c r="AY29" s="43">
        <v>0</v>
      </c>
      <c r="AZ29" s="43">
        <v>61.86</v>
      </c>
      <c r="BA29" s="43">
        <v>61.86</v>
      </c>
      <c r="BB29" s="43">
        <v>10.15</v>
      </c>
      <c r="BC29" s="43">
        <v>72.010000000000005</v>
      </c>
      <c r="BD29" s="43">
        <v>99.87</v>
      </c>
      <c r="BE29" s="43">
        <v>0</v>
      </c>
      <c r="BF29" s="43">
        <v>62.09</v>
      </c>
      <c r="BG29" s="43">
        <v>62.09</v>
      </c>
      <c r="BH29" s="43">
        <v>9.4</v>
      </c>
      <c r="BI29" s="43">
        <v>71.489999999999995</v>
      </c>
      <c r="BJ29" s="43">
        <v>99.84</v>
      </c>
      <c r="BK29" s="43">
        <v>0.16</v>
      </c>
      <c r="BL29" s="43">
        <v>65.69</v>
      </c>
      <c r="BM29" s="43">
        <v>65.69</v>
      </c>
      <c r="BN29" s="43">
        <v>4.8899999999999997</v>
      </c>
      <c r="BO29" s="43">
        <v>70.58</v>
      </c>
      <c r="BP29" s="43">
        <v>99.82</v>
      </c>
      <c r="BQ29" s="43">
        <v>0.04</v>
      </c>
      <c r="BR29" s="43">
        <v>64.05</v>
      </c>
      <c r="BS29" s="43">
        <v>64.05</v>
      </c>
      <c r="BT29" s="43">
        <v>2.25</v>
      </c>
      <c r="BU29" s="43">
        <v>66.3</v>
      </c>
      <c r="BV29" s="43">
        <v>99.85</v>
      </c>
      <c r="BW29" s="43">
        <v>0.01</v>
      </c>
      <c r="BX29" s="43">
        <v>64.650000000000006</v>
      </c>
      <c r="BY29" s="43">
        <v>64.650000000000006</v>
      </c>
      <c r="BZ29" s="43">
        <v>3.17</v>
      </c>
      <c r="CA29" s="43">
        <v>67.819999999999993</v>
      </c>
      <c r="CB29" s="43">
        <v>99.88</v>
      </c>
      <c r="CC29" s="43">
        <v>0.12</v>
      </c>
      <c r="CD29" s="43">
        <v>65.84</v>
      </c>
      <c r="CE29" s="43">
        <v>65.84</v>
      </c>
      <c r="CF29" s="43">
        <v>2.63</v>
      </c>
      <c r="CG29" s="43">
        <v>68.47</v>
      </c>
      <c r="CH29" s="43">
        <v>99.87</v>
      </c>
      <c r="CI29" s="43">
        <v>3.84</v>
      </c>
      <c r="CJ29" s="43">
        <v>65.44</v>
      </c>
      <c r="CK29" s="43">
        <v>65.44</v>
      </c>
      <c r="CL29" s="43">
        <f t="shared" si="0"/>
        <v>3.1299999999999955</v>
      </c>
      <c r="CM29" s="43">
        <v>68.569999999999993</v>
      </c>
      <c r="CN29" s="64"/>
    </row>
    <row r="30" spans="1:92" s="11" customFormat="1" ht="12.95" customHeight="1" thickBot="1">
      <c r="A30" s="42" t="s">
        <v>35</v>
      </c>
      <c r="B30" s="43">
        <v>100</v>
      </c>
      <c r="C30" s="43">
        <v>0</v>
      </c>
      <c r="D30" s="43">
        <v>3.41</v>
      </c>
      <c r="E30" s="43">
        <v>3.41</v>
      </c>
      <c r="F30" s="43">
        <v>65.44</v>
      </c>
      <c r="G30" s="43">
        <v>68.849999999999994</v>
      </c>
      <c r="H30" s="43">
        <v>100</v>
      </c>
      <c r="I30" s="43">
        <v>0</v>
      </c>
      <c r="J30" s="43">
        <v>3.51</v>
      </c>
      <c r="K30" s="43">
        <v>3.51</v>
      </c>
      <c r="L30" s="43">
        <v>66.48</v>
      </c>
      <c r="M30" s="43">
        <v>69.98</v>
      </c>
      <c r="N30" s="43">
        <v>100</v>
      </c>
      <c r="O30" s="43">
        <v>0</v>
      </c>
      <c r="P30" s="43">
        <v>3.57</v>
      </c>
      <c r="Q30" s="43">
        <v>3.57</v>
      </c>
      <c r="R30" s="43">
        <v>66.540000000000006</v>
      </c>
      <c r="S30" s="43">
        <v>70.12</v>
      </c>
      <c r="T30" s="43">
        <v>100</v>
      </c>
      <c r="U30" s="43">
        <v>0</v>
      </c>
      <c r="V30" s="43">
        <v>3.58</v>
      </c>
      <c r="W30" s="43">
        <v>3.58</v>
      </c>
      <c r="X30" s="43">
        <v>66.709999999999994</v>
      </c>
      <c r="Y30" s="43">
        <v>70.28</v>
      </c>
      <c r="Z30" s="43">
        <v>100</v>
      </c>
      <c r="AA30" s="43">
        <v>0</v>
      </c>
      <c r="AB30" s="43">
        <v>3.57</v>
      </c>
      <c r="AC30" s="43">
        <v>3.57</v>
      </c>
      <c r="AD30" s="43">
        <v>66.84</v>
      </c>
      <c r="AE30" s="43">
        <v>70.41</v>
      </c>
      <c r="AF30" s="43">
        <v>100</v>
      </c>
      <c r="AG30" s="43">
        <v>0</v>
      </c>
      <c r="AH30" s="43">
        <v>4.6900000000000004</v>
      </c>
      <c r="AI30" s="43">
        <v>4.6900000000000004</v>
      </c>
      <c r="AJ30" s="43">
        <v>66.790000000000006</v>
      </c>
      <c r="AK30" s="43">
        <v>71.48</v>
      </c>
      <c r="AL30" s="43">
        <v>100</v>
      </c>
      <c r="AM30" s="43">
        <v>0</v>
      </c>
      <c r="AN30" s="43">
        <v>4.7</v>
      </c>
      <c r="AO30" s="43">
        <v>4.7</v>
      </c>
      <c r="AP30" s="43">
        <v>66.72</v>
      </c>
      <c r="AQ30" s="43">
        <v>71.42</v>
      </c>
      <c r="AR30" s="43">
        <v>100</v>
      </c>
      <c r="AS30" s="43">
        <v>1.35</v>
      </c>
      <c r="AT30" s="43">
        <v>4.7300000000000004</v>
      </c>
      <c r="AU30" s="43">
        <v>4.7300000000000004</v>
      </c>
      <c r="AV30" s="43">
        <v>66.87</v>
      </c>
      <c r="AW30" s="43">
        <v>71.599999999999994</v>
      </c>
      <c r="AX30" s="43">
        <v>100</v>
      </c>
      <c r="AY30" s="43">
        <v>0</v>
      </c>
      <c r="AZ30" s="43">
        <v>4.75</v>
      </c>
      <c r="BA30" s="43">
        <v>4.75</v>
      </c>
      <c r="BB30" s="43">
        <v>67.06</v>
      </c>
      <c r="BC30" s="43">
        <v>71.81</v>
      </c>
      <c r="BD30" s="43">
        <v>100</v>
      </c>
      <c r="BE30" s="43">
        <v>1.94</v>
      </c>
      <c r="BF30" s="43">
        <v>4.7699999999999996</v>
      </c>
      <c r="BG30" s="43">
        <v>4.7699999999999996</v>
      </c>
      <c r="BH30" s="43">
        <v>67.16</v>
      </c>
      <c r="BI30" s="43">
        <v>71.930000000000007</v>
      </c>
      <c r="BJ30" s="43">
        <v>100</v>
      </c>
      <c r="BK30" s="43">
        <v>12.18</v>
      </c>
      <c r="BL30" s="43">
        <v>69.180000000000007</v>
      </c>
      <c r="BM30" s="43">
        <v>69.180000000000007</v>
      </c>
      <c r="BN30" s="43">
        <v>2.08</v>
      </c>
      <c r="BO30" s="43">
        <v>71.27</v>
      </c>
      <c r="BP30" s="43">
        <v>100</v>
      </c>
      <c r="BQ30" s="43">
        <v>1.18</v>
      </c>
      <c r="BR30" s="43">
        <v>68.72</v>
      </c>
      <c r="BS30" s="43">
        <v>68.72</v>
      </c>
      <c r="BT30" s="43">
        <v>2.14</v>
      </c>
      <c r="BU30" s="43">
        <v>70.86</v>
      </c>
      <c r="BV30" s="43">
        <v>100</v>
      </c>
      <c r="BW30" s="43">
        <v>0</v>
      </c>
      <c r="BX30" s="43">
        <v>69.31</v>
      </c>
      <c r="BY30" s="43">
        <v>69.31</v>
      </c>
      <c r="BZ30" s="43">
        <v>2.15</v>
      </c>
      <c r="CA30" s="43">
        <v>71.47</v>
      </c>
      <c r="CB30" s="43">
        <v>100</v>
      </c>
      <c r="CC30" s="43">
        <v>0.62</v>
      </c>
      <c r="CD30" s="43">
        <v>69.72</v>
      </c>
      <c r="CE30" s="43">
        <v>69.72</v>
      </c>
      <c r="CF30" s="43">
        <v>2.17</v>
      </c>
      <c r="CG30" s="43">
        <v>71.89</v>
      </c>
      <c r="CH30" s="43">
        <v>100</v>
      </c>
      <c r="CI30" s="43">
        <v>0.9</v>
      </c>
      <c r="CJ30" s="43">
        <v>69.61</v>
      </c>
      <c r="CK30" s="43">
        <v>69.61</v>
      </c>
      <c r="CL30" s="43">
        <f t="shared" si="0"/>
        <v>2.1800000000000068</v>
      </c>
      <c r="CM30" s="43">
        <v>71.790000000000006</v>
      </c>
      <c r="CN30" s="64"/>
    </row>
    <row r="31" spans="1:92" s="40" customFormat="1" ht="12.95" customHeight="1" thickBot="1">
      <c r="A31" s="39" t="s">
        <v>36</v>
      </c>
      <c r="B31" s="39">
        <v>98.46</v>
      </c>
      <c r="C31" s="39">
        <v>0.19</v>
      </c>
      <c r="D31" s="39">
        <v>54.94</v>
      </c>
      <c r="E31" s="39">
        <v>53.83</v>
      </c>
      <c r="F31" s="39">
        <v>22.88</v>
      </c>
      <c r="G31" s="39">
        <v>77.819999999999993</v>
      </c>
      <c r="H31" s="39">
        <v>98.62</v>
      </c>
      <c r="I31" s="39">
        <v>0.85</v>
      </c>
      <c r="J31" s="39">
        <v>60.46</v>
      </c>
      <c r="K31" s="39">
        <v>59.58</v>
      </c>
      <c r="L31" s="39">
        <v>20.81</v>
      </c>
      <c r="M31" s="39">
        <v>81.27</v>
      </c>
      <c r="N31" s="39">
        <v>98.73</v>
      </c>
      <c r="O31" s="39">
        <v>0.52</v>
      </c>
      <c r="P31" s="39">
        <v>60.7</v>
      </c>
      <c r="Q31" s="39">
        <v>59.83</v>
      </c>
      <c r="R31" s="39">
        <v>20.72</v>
      </c>
      <c r="S31" s="39">
        <v>81.42</v>
      </c>
      <c r="T31" s="39">
        <v>98.77</v>
      </c>
      <c r="U31" s="39">
        <v>1.39</v>
      </c>
      <c r="V31" s="39">
        <v>61.2</v>
      </c>
      <c r="W31" s="39">
        <v>60.32</v>
      </c>
      <c r="X31" s="39">
        <v>20.72</v>
      </c>
      <c r="Y31" s="39">
        <v>81.92</v>
      </c>
      <c r="Z31" s="39">
        <v>98.81</v>
      </c>
      <c r="AA31" s="39">
        <v>0.04</v>
      </c>
      <c r="AB31" s="39">
        <v>61.46</v>
      </c>
      <c r="AC31" s="39">
        <v>60.59</v>
      </c>
      <c r="AD31" s="39">
        <v>20.67</v>
      </c>
      <c r="AE31" s="39">
        <v>82.13</v>
      </c>
      <c r="AF31" s="39">
        <v>98.84</v>
      </c>
      <c r="AG31" s="39">
        <v>1.21</v>
      </c>
      <c r="AH31" s="39">
        <v>67.849999999999994</v>
      </c>
      <c r="AI31" s="39">
        <v>67.64</v>
      </c>
      <c r="AJ31" s="39">
        <v>14.830000000000013</v>
      </c>
      <c r="AK31" s="39">
        <v>82.68</v>
      </c>
      <c r="AL31" s="39">
        <v>98.85</v>
      </c>
      <c r="AM31" s="39">
        <v>1.25</v>
      </c>
      <c r="AN31" s="39">
        <v>68.349999999999994</v>
      </c>
      <c r="AO31" s="39">
        <v>68.14</v>
      </c>
      <c r="AP31" s="39">
        <v>14.71</v>
      </c>
      <c r="AQ31" s="39">
        <v>83.06</v>
      </c>
      <c r="AR31" s="39">
        <v>99.02</v>
      </c>
      <c r="AS31" s="39">
        <v>0.85</v>
      </c>
      <c r="AT31" s="39">
        <v>68.59</v>
      </c>
      <c r="AU31" s="39">
        <v>68.36</v>
      </c>
      <c r="AV31" s="39">
        <v>14.81</v>
      </c>
      <c r="AW31" s="39">
        <v>83.4</v>
      </c>
      <c r="AX31" s="39">
        <v>99.19</v>
      </c>
      <c r="AY31" s="39">
        <v>0.13</v>
      </c>
      <c r="AZ31" s="39">
        <v>69.09</v>
      </c>
      <c r="BA31" s="39">
        <v>68.86</v>
      </c>
      <c r="BB31" s="39">
        <v>14.32</v>
      </c>
      <c r="BC31" s="39">
        <v>83.41</v>
      </c>
      <c r="BD31" s="39">
        <v>99.01</v>
      </c>
      <c r="BE31" s="39">
        <v>4.0199999999999996</v>
      </c>
      <c r="BF31" s="39">
        <v>68.959999999999994</v>
      </c>
      <c r="BG31" s="39">
        <v>68.95</v>
      </c>
      <c r="BH31" s="39">
        <v>14.82</v>
      </c>
      <c r="BI31" s="39">
        <v>83.79</v>
      </c>
      <c r="BJ31" s="39">
        <v>99.07</v>
      </c>
      <c r="BK31" s="39">
        <v>3.9</v>
      </c>
      <c r="BL31" s="39">
        <v>70.02</v>
      </c>
      <c r="BM31" s="39">
        <v>70</v>
      </c>
      <c r="BN31" s="39">
        <v>13.47</v>
      </c>
      <c r="BO31" s="39">
        <v>83.49</v>
      </c>
      <c r="BP31" s="39">
        <v>99.03</v>
      </c>
      <c r="BQ31" s="39">
        <v>2.52</v>
      </c>
      <c r="BR31" s="39">
        <v>70.53</v>
      </c>
      <c r="BS31" s="39">
        <v>70.55</v>
      </c>
      <c r="BT31" s="39">
        <v>11.58</v>
      </c>
      <c r="BU31" s="39">
        <v>82.11</v>
      </c>
      <c r="BV31" s="39">
        <v>99.09</v>
      </c>
      <c r="BW31" s="39">
        <v>1.08</v>
      </c>
      <c r="BX31" s="39">
        <v>70.52</v>
      </c>
      <c r="BY31" s="39">
        <v>70.45</v>
      </c>
      <c r="BZ31" s="39">
        <v>11.23</v>
      </c>
      <c r="CA31" s="39">
        <v>81.75</v>
      </c>
      <c r="CB31" s="39">
        <v>98.99</v>
      </c>
      <c r="CC31" s="39">
        <v>1.3</v>
      </c>
      <c r="CD31" s="39">
        <v>70.36</v>
      </c>
      <c r="CE31" s="39">
        <v>70.3</v>
      </c>
      <c r="CF31" s="39">
        <v>11.17</v>
      </c>
      <c r="CG31" s="39">
        <v>81.53</v>
      </c>
      <c r="CH31" s="39">
        <v>99.18</v>
      </c>
      <c r="CI31" s="39">
        <v>1.95</v>
      </c>
      <c r="CJ31" s="39">
        <v>70.7</v>
      </c>
      <c r="CK31" s="9">
        <v>70.680000000000007</v>
      </c>
      <c r="CL31" s="39">
        <f t="shared" si="0"/>
        <v>11.289999999999992</v>
      </c>
      <c r="CM31" s="39">
        <v>81.99</v>
      </c>
      <c r="CN31" s="64"/>
    </row>
    <row r="32" spans="1:92" s="11" customFormat="1" ht="12.95" customHeight="1" thickBot="1">
      <c r="A32" s="41" t="s">
        <v>37</v>
      </c>
      <c r="B32" s="9">
        <v>99</v>
      </c>
      <c r="C32" s="9">
        <v>0.23</v>
      </c>
      <c r="D32" s="9">
        <v>71.55</v>
      </c>
      <c r="E32" s="9">
        <v>70</v>
      </c>
      <c r="F32" s="9">
        <v>14.23</v>
      </c>
      <c r="G32" s="9">
        <v>85.78</v>
      </c>
      <c r="H32" s="9">
        <v>99.1</v>
      </c>
      <c r="I32" s="9">
        <v>0.79</v>
      </c>
      <c r="J32" s="9">
        <v>73.75</v>
      </c>
      <c r="K32" s="9">
        <v>72.28</v>
      </c>
      <c r="L32" s="9">
        <v>14.41</v>
      </c>
      <c r="M32" s="9">
        <v>88.17</v>
      </c>
      <c r="N32" s="9">
        <v>99.17</v>
      </c>
      <c r="O32" s="9">
        <v>0.08</v>
      </c>
      <c r="P32" s="9">
        <v>73.88</v>
      </c>
      <c r="Q32" s="9">
        <v>72.41</v>
      </c>
      <c r="R32" s="9">
        <v>14.16</v>
      </c>
      <c r="S32" s="9">
        <v>88.04</v>
      </c>
      <c r="T32" s="9">
        <v>99.19</v>
      </c>
      <c r="U32" s="9">
        <v>1.36</v>
      </c>
      <c r="V32" s="9">
        <v>74.510000000000005</v>
      </c>
      <c r="W32" s="9">
        <v>73.05</v>
      </c>
      <c r="X32" s="9">
        <v>14.19</v>
      </c>
      <c r="Y32" s="9">
        <v>88.7</v>
      </c>
      <c r="Z32" s="9">
        <v>99.21</v>
      </c>
      <c r="AA32" s="9">
        <v>0.03</v>
      </c>
      <c r="AB32" s="9">
        <v>74.790000000000006</v>
      </c>
      <c r="AC32" s="9">
        <v>73.34</v>
      </c>
      <c r="AD32" s="9">
        <v>14.18</v>
      </c>
      <c r="AE32" s="9">
        <v>88.97</v>
      </c>
      <c r="AF32" s="9">
        <v>99.24</v>
      </c>
      <c r="AG32" s="9">
        <v>1.8</v>
      </c>
      <c r="AH32" s="9">
        <v>77</v>
      </c>
      <c r="AI32" s="9">
        <v>76.650000000000006</v>
      </c>
      <c r="AJ32" s="9">
        <v>12.469999999999999</v>
      </c>
      <c r="AK32" s="9">
        <v>89.47</v>
      </c>
      <c r="AL32" s="9">
        <v>99.25</v>
      </c>
      <c r="AM32" s="9">
        <v>1.29</v>
      </c>
      <c r="AN32" s="9">
        <v>77.239999999999995</v>
      </c>
      <c r="AO32" s="9">
        <v>76.91</v>
      </c>
      <c r="AP32" s="9">
        <v>12.43</v>
      </c>
      <c r="AQ32" s="9">
        <v>89.67</v>
      </c>
      <c r="AR32" s="9">
        <v>99.47</v>
      </c>
      <c r="AS32" s="9">
        <v>0.71</v>
      </c>
      <c r="AT32" s="9">
        <v>77.319999999999993</v>
      </c>
      <c r="AU32" s="9">
        <v>76.95</v>
      </c>
      <c r="AV32" s="9">
        <v>12.61</v>
      </c>
      <c r="AW32" s="9">
        <v>89.93</v>
      </c>
      <c r="AX32" s="9">
        <v>99.7</v>
      </c>
      <c r="AY32" s="9">
        <v>0.19</v>
      </c>
      <c r="AZ32" s="9">
        <v>78</v>
      </c>
      <c r="BA32" s="9">
        <v>77.64</v>
      </c>
      <c r="BB32" s="9">
        <v>11.8</v>
      </c>
      <c r="BC32" s="9">
        <v>89.8</v>
      </c>
      <c r="BD32" s="9">
        <v>99.6</v>
      </c>
      <c r="BE32" s="9">
        <v>5.78</v>
      </c>
      <c r="BF32" s="9">
        <v>77.88</v>
      </c>
      <c r="BG32" s="9">
        <v>77.849999999999994</v>
      </c>
      <c r="BH32" s="9">
        <v>12.23</v>
      </c>
      <c r="BI32" s="9">
        <v>90.11</v>
      </c>
      <c r="BJ32" s="9">
        <v>99.69</v>
      </c>
      <c r="BK32" s="9">
        <v>5.47</v>
      </c>
      <c r="BL32" s="9">
        <v>77.61</v>
      </c>
      <c r="BM32" s="9">
        <v>77.58</v>
      </c>
      <c r="BN32" s="9">
        <v>12.22</v>
      </c>
      <c r="BO32" s="9">
        <v>89.83</v>
      </c>
      <c r="BP32" s="9">
        <v>99.55</v>
      </c>
      <c r="BQ32" s="9">
        <v>3.71</v>
      </c>
      <c r="BR32" s="9">
        <v>78.459999999999994</v>
      </c>
      <c r="BS32" s="9">
        <v>78.44</v>
      </c>
      <c r="BT32" s="9">
        <v>11.67</v>
      </c>
      <c r="BU32" s="9">
        <v>90.08</v>
      </c>
      <c r="BV32" s="9">
        <v>99.63</v>
      </c>
      <c r="BW32" s="9">
        <v>1.89</v>
      </c>
      <c r="BX32" s="39">
        <v>78.069999999999993</v>
      </c>
      <c r="BY32" s="9">
        <v>78.040000000000006</v>
      </c>
      <c r="BZ32" s="39">
        <v>11.3</v>
      </c>
      <c r="CA32" s="39">
        <v>89.37</v>
      </c>
      <c r="CB32" s="9">
        <v>99.42</v>
      </c>
      <c r="CC32" s="9">
        <v>1.52</v>
      </c>
      <c r="CD32" s="9">
        <v>77.650000000000006</v>
      </c>
      <c r="CE32" s="9">
        <v>77.62</v>
      </c>
      <c r="CF32" s="39">
        <v>11.27</v>
      </c>
      <c r="CG32" s="39">
        <v>88.92</v>
      </c>
      <c r="CH32" s="9">
        <v>99.67</v>
      </c>
      <c r="CI32" s="9">
        <v>1.97</v>
      </c>
      <c r="CJ32" s="9">
        <v>77.790000000000006</v>
      </c>
      <c r="CK32" s="9">
        <v>77.760000000000005</v>
      </c>
      <c r="CL32" s="39">
        <f t="shared" si="0"/>
        <v>11.97999999999999</v>
      </c>
      <c r="CM32" s="39">
        <v>89.77</v>
      </c>
      <c r="CN32" s="64"/>
    </row>
    <row r="33" spans="1:92" s="11" customFormat="1" ht="12.95" customHeight="1" thickBot="1">
      <c r="A33" s="42" t="s">
        <v>38</v>
      </c>
      <c r="B33" s="43">
        <v>95.54</v>
      </c>
      <c r="C33" s="43">
        <v>0</v>
      </c>
      <c r="D33" s="43">
        <v>25.76</v>
      </c>
      <c r="E33" s="43">
        <v>25.76</v>
      </c>
      <c r="F33" s="43">
        <v>46.79</v>
      </c>
      <c r="G33" s="43">
        <v>72.55</v>
      </c>
      <c r="H33" s="43">
        <v>95.68</v>
      </c>
      <c r="I33" s="43">
        <v>0</v>
      </c>
      <c r="J33" s="43">
        <v>26.27</v>
      </c>
      <c r="K33" s="43">
        <v>26.27</v>
      </c>
      <c r="L33" s="43">
        <v>51.45</v>
      </c>
      <c r="M33" s="43">
        <v>77.72</v>
      </c>
      <c r="N33" s="43">
        <v>96.11</v>
      </c>
      <c r="O33" s="43">
        <v>0</v>
      </c>
      <c r="P33" s="43">
        <v>26.34</v>
      </c>
      <c r="Q33" s="43">
        <v>26.34</v>
      </c>
      <c r="R33" s="43">
        <v>51.02</v>
      </c>
      <c r="S33" s="43">
        <v>77.349999999999994</v>
      </c>
      <c r="T33" s="43">
        <v>96.14</v>
      </c>
      <c r="U33" s="43">
        <v>0</v>
      </c>
      <c r="V33" s="43">
        <v>26.47</v>
      </c>
      <c r="W33" s="43">
        <v>26.47</v>
      </c>
      <c r="X33" s="43">
        <v>51.02</v>
      </c>
      <c r="Y33" s="43">
        <v>77.48</v>
      </c>
      <c r="Z33" s="43">
        <v>96.19</v>
      </c>
      <c r="AA33" s="43">
        <v>0</v>
      </c>
      <c r="AB33" s="43">
        <v>26.78</v>
      </c>
      <c r="AC33" s="43">
        <v>26.78</v>
      </c>
      <c r="AD33" s="43">
        <v>50.8</v>
      </c>
      <c r="AE33" s="43">
        <v>77.58</v>
      </c>
      <c r="AF33" s="43">
        <v>96.21</v>
      </c>
      <c r="AG33" s="43">
        <v>0</v>
      </c>
      <c r="AH33" s="43">
        <v>31.18</v>
      </c>
      <c r="AI33" s="43">
        <v>31.18</v>
      </c>
      <c r="AJ33" s="43">
        <v>49.750000000000007</v>
      </c>
      <c r="AK33" s="43">
        <v>80.930000000000007</v>
      </c>
      <c r="AL33" s="43">
        <v>96.23</v>
      </c>
      <c r="AM33" s="43">
        <v>0</v>
      </c>
      <c r="AN33" s="43">
        <v>30.41</v>
      </c>
      <c r="AO33" s="43">
        <v>30.41</v>
      </c>
      <c r="AP33" s="43">
        <v>50.53</v>
      </c>
      <c r="AQ33" s="43">
        <v>80.95</v>
      </c>
      <c r="AR33" s="43">
        <v>97.73</v>
      </c>
      <c r="AS33" s="43">
        <v>0</v>
      </c>
      <c r="AT33" s="43">
        <v>29.55</v>
      </c>
      <c r="AU33" s="43">
        <v>29.55</v>
      </c>
      <c r="AV33" s="43">
        <v>52.36</v>
      </c>
      <c r="AW33" s="43">
        <v>81.91</v>
      </c>
      <c r="AX33" s="43">
        <v>99.18</v>
      </c>
      <c r="AY33" s="43">
        <v>0.47</v>
      </c>
      <c r="AZ33" s="43">
        <v>32.81</v>
      </c>
      <c r="BA33" s="43">
        <v>32.81</v>
      </c>
      <c r="BB33" s="43">
        <v>49.39</v>
      </c>
      <c r="BC33" s="43">
        <v>82.21</v>
      </c>
      <c r="BD33" s="43">
        <v>98.9</v>
      </c>
      <c r="BE33" s="43">
        <v>3.77</v>
      </c>
      <c r="BF33" s="43">
        <v>32.770000000000003</v>
      </c>
      <c r="BG33" s="43">
        <v>32.770000000000003</v>
      </c>
      <c r="BH33" s="43">
        <v>50.11</v>
      </c>
      <c r="BI33" s="43">
        <v>82.89</v>
      </c>
      <c r="BJ33" s="43">
        <v>99.65</v>
      </c>
      <c r="BK33" s="43">
        <v>3.91</v>
      </c>
      <c r="BL33" s="43">
        <v>32.69</v>
      </c>
      <c r="BM33" s="43">
        <v>32.69</v>
      </c>
      <c r="BN33" s="43">
        <v>50.62</v>
      </c>
      <c r="BO33" s="43">
        <v>83.31</v>
      </c>
      <c r="BP33" s="43">
        <v>98.67</v>
      </c>
      <c r="BQ33" s="43">
        <v>6.13</v>
      </c>
      <c r="BR33" s="43">
        <v>37.369999999999997</v>
      </c>
      <c r="BS33" s="43">
        <v>37.369999999999997</v>
      </c>
      <c r="BT33" s="43">
        <v>46.45</v>
      </c>
      <c r="BU33" s="43">
        <v>83.74</v>
      </c>
      <c r="BV33" s="43">
        <v>99.1</v>
      </c>
      <c r="BW33" s="43">
        <v>2.65</v>
      </c>
      <c r="BX33" s="43">
        <v>34.58</v>
      </c>
      <c r="BY33" s="43">
        <v>34.58</v>
      </c>
      <c r="BZ33" s="43">
        <v>43.37</v>
      </c>
      <c r="CA33" s="43">
        <v>77.959999999999994</v>
      </c>
      <c r="CB33" s="43">
        <v>99.12</v>
      </c>
      <c r="CC33" s="43">
        <v>4.38</v>
      </c>
      <c r="CD33" s="43">
        <v>35.04</v>
      </c>
      <c r="CE33" s="43">
        <v>35.04</v>
      </c>
      <c r="CF33" s="43">
        <v>42.87</v>
      </c>
      <c r="CG33" s="43">
        <v>77.91</v>
      </c>
      <c r="CH33" s="43">
        <v>99.12</v>
      </c>
      <c r="CI33" s="43">
        <v>5.85</v>
      </c>
      <c r="CJ33" s="43">
        <v>34.54</v>
      </c>
      <c r="CK33" s="43">
        <v>34.54</v>
      </c>
      <c r="CL33" s="43">
        <f t="shared" si="0"/>
        <v>44.71</v>
      </c>
      <c r="CM33" s="43">
        <v>79.25</v>
      </c>
      <c r="CN33" s="64"/>
    </row>
    <row r="34" spans="1:92" s="11" customFormat="1" ht="12.95" customHeight="1" thickBot="1">
      <c r="A34" s="42" t="s">
        <v>39</v>
      </c>
      <c r="B34" s="43">
        <v>99.22</v>
      </c>
      <c r="C34" s="43">
        <v>1.01</v>
      </c>
      <c r="D34" s="43">
        <v>59.14</v>
      </c>
      <c r="E34" s="43">
        <v>59.14</v>
      </c>
      <c r="F34" s="43">
        <v>8.4600000000000009</v>
      </c>
      <c r="G34" s="43">
        <v>67.599999999999994</v>
      </c>
      <c r="H34" s="43">
        <v>99.46</v>
      </c>
      <c r="I34" s="43">
        <v>0</v>
      </c>
      <c r="J34" s="43">
        <v>60.31</v>
      </c>
      <c r="K34" s="43">
        <v>60.31</v>
      </c>
      <c r="L34" s="43">
        <v>14.92</v>
      </c>
      <c r="M34" s="43">
        <v>75.23</v>
      </c>
      <c r="N34" s="43">
        <v>99.48</v>
      </c>
      <c r="O34" s="43">
        <v>0</v>
      </c>
      <c r="P34" s="43">
        <v>60.57</v>
      </c>
      <c r="Q34" s="43">
        <v>60.57</v>
      </c>
      <c r="R34" s="43">
        <v>13.24</v>
      </c>
      <c r="S34" s="43">
        <v>73.81</v>
      </c>
      <c r="T34" s="43">
        <v>99.49</v>
      </c>
      <c r="U34" s="43">
        <v>0</v>
      </c>
      <c r="V34" s="43">
        <v>60.82</v>
      </c>
      <c r="W34" s="43">
        <v>60.82</v>
      </c>
      <c r="X34" s="43">
        <v>13.26</v>
      </c>
      <c r="Y34" s="43">
        <v>74.08</v>
      </c>
      <c r="Z34" s="43">
        <v>99.47</v>
      </c>
      <c r="AA34" s="43">
        <v>0</v>
      </c>
      <c r="AB34" s="43">
        <v>60.98</v>
      </c>
      <c r="AC34" s="43">
        <v>60.98</v>
      </c>
      <c r="AD34" s="43">
        <v>13.23</v>
      </c>
      <c r="AE34" s="43">
        <v>74.209999999999994</v>
      </c>
      <c r="AF34" s="43">
        <v>99.42</v>
      </c>
      <c r="AG34" s="43">
        <v>1</v>
      </c>
      <c r="AH34" s="43">
        <v>61.85</v>
      </c>
      <c r="AI34" s="43">
        <v>61.85</v>
      </c>
      <c r="AJ34" s="43">
        <v>13.199999999999996</v>
      </c>
      <c r="AK34" s="43">
        <v>75.05</v>
      </c>
      <c r="AL34" s="43">
        <v>99.39</v>
      </c>
      <c r="AM34" s="43">
        <v>1</v>
      </c>
      <c r="AN34" s="43">
        <v>61.77</v>
      </c>
      <c r="AO34" s="43">
        <v>61.77</v>
      </c>
      <c r="AP34" s="43">
        <v>13.2</v>
      </c>
      <c r="AQ34" s="43">
        <v>74.97</v>
      </c>
      <c r="AR34" s="43">
        <v>99.42</v>
      </c>
      <c r="AS34" s="43">
        <v>1</v>
      </c>
      <c r="AT34" s="43">
        <v>62.01</v>
      </c>
      <c r="AU34" s="43">
        <v>61.33</v>
      </c>
      <c r="AV34" s="43">
        <v>13.21</v>
      </c>
      <c r="AW34" s="43">
        <v>75.22</v>
      </c>
      <c r="AX34" s="43">
        <v>99.44</v>
      </c>
      <c r="AY34" s="43">
        <v>1.01</v>
      </c>
      <c r="AZ34" s="43">
        <v>62.3</v>
      </c>
      <c r="BA34" s="43">
        <v>61.65</v>
      </c>
      <c r="BB34" s="43">
        <v>10.25</v>
      </c>
      <c r="BC34" s="43">
        <v>72.55</v>
      </c>
      <c r="BD34" s="43">
        <v>99.45</v>
      </c>
      <c r="BE34" s="43">
        <v>0.34</v>
      </c>
      <c r="BF34" s="43">
        <v>62.33</v>
      </c>
      <c r="BG34" s="43">
        <v>61.84</v>
      </c>
      <c r="BH34" s="43">
        <v>10.33</v>
      </c>
      <c r="BI34" s="43">
        <v>72.66</v>
      </c>
      <c r="BJ34" s="43">
        <v>99.49</v>
      </c>
      <c r="BK34" s="43">
        <v>0.59</v>
      </c>
      <c r="BL34" s="43">
        <v>62.05</v>
      </c>
      <c r="BM34" s="43">
        <v>61.55</v>
      </c>
      <c r="BN34" s="43">
        <v>10.27</v>
      </c>
      <c r="BO34" s="43">
        <v>72.319999999999993</v>
      </c>
      <c r="BP34" s="43">
        <v>99.25</v>
      </c>
      <c r="BQ34" s="43">
        <v>0.13</v>
      </c>
      <c r="BR34" s="43">
        <v>61.99</v>
      </c>
      <c r="BS34" s="43">
        <v>61.97</v>
      </c>
      <c r="BT34" s="43">
        <v>8.34</v>
      </c>
      <c r="BU34" s="43">
        <v>70.33</v>
      </c>
      <c r="BV34" s="43">
        <v>99.44</v>
      </c>
      <c r="BW34" s="43">
        <v>1.6</v>
      </c>
      <c r="BX34" s="43">
        <v>61.73</v>
      </c>
      <c r="BY34" s="43">
        <v>61.2</v>
      </c>
      <c r="BZ34" s="43">
        <v>8.51</v>
      </c>
      <c r="CA34" s="43">
        <v>70.239999999999995</v>
      </c>
      <c r="CB34" s="43">
        <v>99.3</v>
      </c>
      <c r="CC34" s="43">
        <v>1.36</v>
      </c>
      <c r="CD34" s="43">
        <v>61.2</v>
      </c>
      <c r="CE34" s="43">
        <v>60.64</v>
      </c>
      <c r="CF34" s="43">
        <v>7.62</v>
      </c>
      <c r="CG34" s="43">
        <v>68.819999999999993</v>
      </c>
      <c r="CH34" s="43">
        <v>99.56</v>
      </c>
      <c r="CI34" s="43">
        <v>6.2</v>
      </c>
      <c r="CJ34" s="43">
        <v>61.22</v>
      </c>
      <c r="CK34" s="43">
        <v>60.67</v>
      </c>
      <c r="CL34" s="43">
        <f t="shared" si="0"/>
        <v>7.75</v>
      </c>
      <c r="CM34" s="43">
        <v>68.97</v>
      </c>
      <c r="CN34" s="64"/>
    </row>
    <row r="35" spans="1:92" s="11" customFormat="1" ht="12.95" customHeight="1" thickBot="1">
      <c r="A35" s="42" t="s">
        <v>40</v>
      </c>
      <c r="B35" s="43">
        <v>98.04</v>
      </c>
      <c r="C35" s="43">
        <v>1.95</v>
      </c>
      <c r="D35" s="43">
        <v>71.52</v>
      </c>
      <c r="E35" s="43">
        <v>71.239999999999995</v>
      </c>
      <c r="F35" s="43">
        <v>4.74</v>
      </c>
      <c r="G35" s="43">
        <v>76.25</v>
      </c>
      <c r="H35" s="43">
        <v>98.29</v>
      </c>
      <c r="I35" s="43">
        <v>1.17</v>
      </c>
      <c r="J35" s="43">
        <v>74.010000000000005</v>
      </c>
      <c r="K35" s="43">
        <v>73.819999999999993</v>
      </c>
      <c r="L35" s="43">
        <v>4.93</v>
      </c>
      <c r="M35" s="43">
        <v>78.94</v>
      </c>
      <c r="N35" s="43">
        <v>98.32</v>
      </c>
      <c r="O35" s="43">
        <v>1.17</v>
      </c>
      <c r="P35" s="43">
        <v>74.099999999999994</v>
      </c>
      <c r="Q35" s="43">
        <v>73.900000000000006</v>
      </c>
      <c r="R35" s="43">
        <v>4.97</v>
      </c>
      <c r="S35" s="43">
        <v>79.069999999999993</v>
      </c>
      <c r="T35" s="43">
        <v>98.42</v>
      </c>
      <c r="U35" s="43">
        <v>1.18</v>
      </c>
      <c r="V35" s="43">
        <v>74.16</v>
      </c>
      <c r="W35" s="43">
        <v>73.959999999999994</v>
      </c>
      <c r="X35" s="43">
        <v>5</v>
      </c>
      <c r="Y35" s="43">
        <v>79.16</v>
      </c>
      <c r="Z35" s="43">
        <v>98.44</v>
      </c>
      <c r="AA35" s="43">
        <v>0</v>
      </c>
      <c r="AB35" s="43">
        <v>74.12</v>
      </c>
      <c r="AC35" s="43">
        <v>73.92</v>
      </c>
      <c r="AD35" s="43">
        <v>5</v>
      </c>
      <c r="AE35" s="43">
        <v>79.12</v>
      </c>
      <c r="AF35" s="43">
        <v>98.47</v>
      </c>
      <c r="AG35" s="43">
        <v>0</v>
      </c>
      <c r="AH35" s="43">
        <v>73.87</v>
      </c>
      <c r="AI35" s="43">
        <v>73.64</v>
      </c>
      <c r="AJ35" s="43">
        <v>5.019999999999996</v>
      </c>
      <c r="AK35" s="43">
        <v>78.89</v>
      </c>
      <c r="AL35" s="43">
        <v>98.49</v>
      </c>
      <c r="AM35" s="43">
        <v>0</v>
      </c>
      <c r="AN35" s="43">
        <v>73.739999999999995</v>
      </c>
      <c r="AO35" s="43">
        <v>73.739999999999995</v>
      </c>
      <c r="AP35" s="43">
        <v>5.04</v>
      </c>
      <c r="AQ35" s="43">
        <v>78.77</v>
      </c>
      <c r="AR35" s="43">
        <v>98.52</v>
      </c>
      <c r="AS35" s="43">
        <v>0</v>
      </c>
      <c r="AT35" s="43">
        <v>73.95</v>
      </c>
      <c r="AU35" s="43">
        <v>73.95</v>
      </c>
      <c r="AV35" s="43">
        <v>5.09</v>
      </c>
      <c r="AW35" s="43">
        <v>79.05</v>
      </c>
      <c r="AX35" s="43">
        <v>98.58</v>
      </c>
      <c r="AY35" s="43">
        <v>0</v>
      </c>
      <c r="AZ35" s="43">
        <v>74.209999999999994</v>
      </c>
      <c r="BA35" s="43">
        <v>74.209999999999994</v>
      </c>
      <c r="BB35" s="43">
        <v>5.16</v>
      </c>
      <c r="BC35" s="43">
        <v>79.37</v>
      </c>
      <c r="BD35" s="43">
        <v>98.38</v>
      </c>
      <c r="BE35" s="43">
        <v>84.45</v>
      </c>
      <c r="BF35" s="43">
        <v>74.45</v>
      </c>
      <c r="BG35" s="43">
        <v>74.45</v>
      </c>
      <c r="BH35" s="43">
        <v>5.18</v>
      </c>
      <c r="BI35" s="43">
        <v>79.63</v>
      </c>
      <c r="BJ35" s="43">
        <v>98.23</v>
      </c>
      <c r="BK35" s="43">
        <v>83.34</v>
      </c>
      <c r="BL35" s="43">
        <v>73.77</v>
      </c>
      <c r="BM35" s="43">
        <v>73.77</v>
      </c>
      <c r="BN35" s="43">
        <v>5.13</v>
      </c>
      <c r="BO35" s="43">
        <v>78.91</v>
      </c>
      <c r="BP35" s="43">
        <v>98.03</v>
      </c>
      <c r="BQ35" s="43">
        <v>14.41</v>
      </c>
      <c r="BR35" s="43">
        <v>74.319999999999993</v>
      </c>
      <c r="BS35" s="43">
        <v>74.319999999999993</v>
      </c>
      <c r="BT35" s="43">
        <v>5.0999999999999996</v>
      </c>
      <c r="BU35" s="43">
        <v>79.42</v>
      </c>
      <c r="BV35" s="43">
        <v>98.23</v>
      </c>
      <c r="BW35" s="43">
        <v>12.86</v>
      </c>
      <c r="BX35" s="43">
        <v>74.510000000000005</v>
      </c>
      <c r="BY35" s="43">
        <v>74.510000000000005</v>
      </c>
      <c r="BZ35" s="43">
        <v>5.0999999999999996</v>
      </c>
      <c r="CA35" s="43">
        <v>79.61</v>
      </c>
      <c r="CB35" s="43">
        <v>98.24</v>
      </c>
      <c r="CC35" s="43">
        <v>14.02</v>
      </c>
      <c r="CD35" s="43">
        <v>74.37</v>
      </c>
      <c r="CE35" s="43">
        <v>74.37</v>
      </c>
      <c r="CF35" s="43">
        <v>5.27</v>
      </c>
      <c r="CG35" s="43">
        <v>79.650000000000006</v>
      </c>
      <c r="CH35" s="43">
        <v>98.26</v>
      </c>
      <c r="CI35" s="43">
        <v>14.06</v>
      </c>
      <c r="CJ35" s="43">
        <v>74.34</v>
      </c>
      <c r="CK35" s="43">
        <v>74.34</v>
      </c>
      <c r="CL35" s="43">
        <f t="shared" si="0"/>
        <v>5.2800000000000011</v>
      </c>
      <c r="CM35" s="43">
        <v>79.62</v>
      </c>
      <c r="CN35" s="64"/>
    </row>
    <row r="36" spans="1:92" s="11" customFormat="1" ht="12.95" customHeight="1" thickBot="1">
      <c r="A36" s="42" t="s">
        <v>41</v>
      </c>
      <c r="B36" s="43">
        <v>98.9</v>
      </c>
      <c r="C36" s="43">
        <v>0.27</v>
      </c>
      <c r="D36" s="43">
        <v>28.78</v>
      </c>
      <c r="E36" s="43">
        <v>15.91</v>
      </c>
      <c r="F36" s="43">
        <v>47.33</v>
      </c>
      <c r="G36" s="43">
        <v>76.099999999999994</v>
      </c>
      <c r="H36" s="43">
        <v>99.07</v>
      </c>
      <c r="I36" s="43">
        <v>6.22</v>
      </c>
      <c r="J36" s="43">
        <v>28.95</v>
      </c>
      <c r="K36" s="43">
        <v>16.3</v>
      </c>
      <c r="L36" s="43">
        <v>46</v>
      </c>
      <c r="M36" s="43">
        <v>74.95</v>
      </c>
      <c r="N36" s="43">
        <v>99.09</v>
      </c>
      <c r="O36" s="43">
        <v>7.0000000000000007E-2</v>
      </c>
      <c r="P36" s="43">
        <v>29.1</v>
      </c>
      <c r="Q36" s="43">
        <v>16.41</v>
      </c>
      <c r="R36" s="43">
        <v>46.43</v>
      </c>
      <c r="S36" s="43">
        <v>75.53</v>
      </c>
      <c r="T36" s="43">
        <v>99.13</v>
      </c>
      <c r="U36" s="43">
        <v>11.33</v>
      </c>
      <c r="V36" s="43">
        <v>29.26</v>
      </c>
      <c r="W36" s="43">
        <v>16.5</v>
      </c>
      <c r="X36" s="43">
        <v>46.48</v>
      </c>
      <c r="Y36" s="43">
        <v>75.73</v>
      </c>
      <c r="Z36" s="43">
        <v>99.14</v>
      </c>
      <c r="AA36" s="43">
        <v>0.3</v>
      </c>
      <c r="AB36" s="43">
        <v>29.34</v>
      </c>
      <c r="AC36" s="43">
        <v>16.559999999999999</v>
      </c>
      <c r="AD36" s="43">
        <v>47.73</v>
      </c>
      <c r="AE36" s="43">
        <v>77.069999999999993</v>
      </c>
      <c r="AF36" s="43">
        <v>99.32</v>
      </c>
      <c r="AG36" s="43">
        <v>15.51</v>
      </c>
      <c r="AH36" s="43">
        <v>41.66</v>
      </c>
      <c r="AI36" s="43">
        <v>38.659999999999997</v>
      </c>
      <c r="AJ36" s="43">
        <v>35.53</v>
      </c>
      <c r="AK36" s="43">
        <v>77.19</v>
      </c>
      <c r="AL36" s="43">
        <v>99.33</v>
      </c>
      <c r="AM36" s="43">
        <v>11.02</v>
      </c>
      <c r="AN36" s="43">
        <v>42.9</v>
      </c>
      <c r="AO36" s="43">
        <v>39.909999999999997</v>
      </c>
      <c r="AP36" s="43">
        <v>34.1</v>
      </c>
      <c r="AQ36" s="43">
        <v>77</v>
      </c>
      <c r="AR36" s="43">
        <v>99.34</v>
      </c>
      <c r="AS36" s="43">
        <v>5.94</v>
      </c>
      <c r="AT36" s="43">
        <v>43</v>
      </c>
      <c r="AU36" s="43">
        <v>40.01</v>
      </c>
      <c r="AV36" s="43">
        <v>34.049999999999997</v>
      </c>
      <c r="AW36" s="43">
        <v>77.05</v>
      </c>
      <c r="AX36" s="43">
        <v>99.35</v>
      </c>
      <c r="AY36" s="43">
        <v>0.61</v>
      </c>
      <c r="AZ36" s="43">
        <v>43.15</v>
      </c>
      <c r="BA36" s="43">
        <v>40.15</v>
      </c>
      <c r="BB36" s="43">
        <v>34.049999999999997</v>
      </c>
      <c r="BC36" s="43">
        <v>77.2</v>
      </c>
      <c r="BD36" s="43">
        <v>98.97</v>
      </c>
      <c r="BE36" s="43">
        <v>4.13</v>
      </c>
      <c r="BF36" s="43">
        <v>40.53</v>
      </c>
      <c r="BG36" s="43">
        <v>40.53</v>
      </c>
      <c r="BH36" s="43">
        <v>37.72</v>
      </c>
      <c r="BI36" s="43">
        <v>78.239999999999995</v>
      </c>
      <c r="BJ36" s="43">
        <v>98.83</v>
      </c>
      <c r="BK36" s="43">
        <v>1.46</v>
      </c>
      <c r="BL36" s="43">
        <v>39.9</v>
      </c>
      <c r="BM36" s="43">
        <v>39.9</v>
      </c>
      <c r="BN36" s="43">
        <v>36.31</v>
      </c>
      <c r="BO36" s="43">
        <v>76.2</v>
      </c>
      <c r="BP36" s="43">
        <v>99.11</v>
      </c>
      <c r="BQ36" s="43">
        <v>17.84</v>
      </c>
      <c r="BR36" s="43">
        <v>41.25</v>
      </c>
      <c r="BS36" s="43">
        <v>41.25</v>
      </c>
      <c r="BT36" s="43">
        <v>35.92</v>
      </c>
      <c r="BU36" s="43">
        <v>77.040000000000006</v>
      </c>
      <c r="BV36" s="43">
        <v>99.02</v>
      </c>
      <c r="BW36" s="43">
        <v>0.46</v>
      </c>
      <c r="BX36" s="43">
        <v>41.89</v>
      </c>
      <c r="BY36" s="43">
        <v>41.89</v>
      </c>
      <c r="BZ36" s="43">
        <v>38.340000000000003</v>
      </c>
      <c r="CA36" s="43">
        <v>80.23</v>
      </c>
      <c r="CB36" s="43">
        <v>97.17</v>
      </c>
      <c r="CC36" s="43">
        <v>0.39</v>
      </c>
      <c r="CD36" s="43">
        <v>37.64</v>
      </c>
      <c r="CE36" s="43">
        <v>37.64</v>
      </c>
      <c r="CF36" s="43">
        <v>39.630000000000003</v>
      </c>
      <c r="CG36" s="43">
        <v>77.27</v>
      </c>
      <c r="CH36" s="43">
        <v>99.25</v>
      </c>
      <c r="CI36" s="43">
        <v>0.4</v>
      </c>
      <c r="CJ36" s="43">
        <v>38.299999999999997</v>
      </c>
      <c r="CK36" s="43">
        <v>38.299999999999997</v>
      </c>
      <c r="CL36" s="43">
        <f t="shared" si="0"/>
        <v>44.260000000000005</v>
      </c>
      <c r="CM36" s="43">
        <v>82.56</v>
      </c>
      <c r="CN36" s="64"/>
    </row>
    <row r="37" spans="1:92" s="11" customFormat="1" ht="12.95" customHeight="1" thickBot="1">
      <c r="A37" s="42" t="s">
        <v>42</v>
      </c>
      <c r="B37" s="43">
        <v>100</v>
      </c>
      <c r="C37" s="43">
        <v>0</v>
      </c>
      <c r="D37" s="43">
        <v>93.49</v>
      </c>
      <c r="E37" s="43">
        <v>93.49</v>
      </c>
      <c r="F37" s="43">
        <v>0.8</v>
      </c>
      <c r="G37" s="43">
        <v>94.29</v>
      </c>
      <c r="H37" s="43">
        <v>100</v>
      </c>
      <c r="I37" s="43">
        <v>0</v>
      </c>
      <c r="J37" s="43">
        <v>95.53</v>
      </c>
      <c r="K37" s="43">
        <v>95.53</v>
      </c>
      <c r="L37" s="43">
        <v>7.0000000000000007E-2</v>
      </c>
      <c r="M37" s="43">
        <v>95.6</v>
      </c>
      <c r="N37" s="43">
        <v>100</v>
      </c>
      <c r="O37" s="43">
        <v>0</v>
      </c>
      <c r="P37" s="43">
        <v>95.4</v>
      </c>
      <c r="Q37" s="43">
        <v>95.4</v>
      </c>
      <c r="R37" s="43">
        <v>0</v>
      </c>
      <c r="S37" s="43">
        <v>95.4</v>
      </c>
      <c r="T37" s="43">
        <v>100</v>
      </c>
      <c r="U37" s="43">
        <v>0</v>
      </c>
      <c r="V37" s="43">
        <v>96.06</v>
      </c>
      <c r="W37" s="43">
        <v>96.06</v>
      </c>
      <c r="X37" s="43">
        <v>0.21</v>
      </c>
      <c r="Y37" s="43">
        <v>96.27</v>
      </c>
      <c r="Z37" s="43">
        <v>100</v>
      </c>
      <c r="AA37" s="43">
        <v>0</v>
      </c>
      <c r="AB37" s="43">
        <v>96.09</v>
      </c>
      <c r="AC37" s="43">
        <v>96.09</v>
      </c>
      <c r="AD37" s="43">
        <v>0.21</v>
      </c>
      <c r="AE37" s="43">
        <v>96.3</v>
      </c>
      <c r="AF37" s="43">
        <v>100</v>
      </c>
      <c r="AG37" s="43">
        <v>0</v>
      </c>
      <c r="AH37" s="43">
        <v>96.05</v>
      </c>
      <c r="AI37" s="43">
        <v>96.05</v>
      </c>
      <c r="AJ37" s="43">
        <v>7.000000000000739E-2</v>
      </c>
      <c r="AK37" s="43">
        <v>96.12</v>
      </c>
      <c r="AL37" s="43">
        <v>100</v>
      </c>
      <c r="AM37" s="43">
        <v>0</v>
      </c>
      <c r="AN37" s="43">
        <v>96.19</v>
      </c>
      <c r="AO37" s="43">
        <v>96.19</v>
      </c>
      <c r="AP37" s="43">
        <v>0.22</v>
      </c>
      <c r="AQ37" s="43">
        <v>96.41</v>
      </c>
      <c r="AR37" s="43">
        <v>100</v>
      </c>
      <c r="AS37" s="43">
        <v>0</v>
      </c>
      <c r="AT37" s="43">
        <v>96.22</v>
      </c>
      <c r="AU37" s="43">
        <v>96.22</v>
      </c>
      <c r="AV37" s="43">
        <v>0.21</v>
      </c>
      <c r="AW37" s="43">
        <v>96.44</v>
      </c>
      <c r="AX37" s="43">
        <v>100</v>
      </c>
      <c r="AY37" s="43">
        <v>0</v>
      </c>
      <c r="AZ37" s="43">
        <v>96.26</v>
      </c>
      <c r="BA37" s="43">
        <v>96.26</v>
      </c>
      <c r="BB37" s="43">
        <v>0</v>
      </c>
      <c r="BC37" s="43">
        <v>96.26</v>
      </c>
      <c r="BD37" s="43">
        <v>100</v>
      </c>
      <c r="BE37" s="43">
        <v>0</v>
      </c>
      <c r="BF37" s="43">
        <v>96.29</v>
      </c>
      <c r="BG37" s="43">
        <v>96.29</v>
      </c>
      <c r="BH37" s="43">
        <v>0</v>
      </c>
      <c r="BI37" s="43">
        <v>96.29</v>
      </c>
      <c r="BJ37" s="43">
        <v>100</v>
      </c>
      <c r="BK37" s="43">
        <v>0</v>
      </c>
      <c r="BL37" s="43">
        <v>96.27</v>
      </c>
      <c r="BM37" s="43">
        <v>96.27</v>
      </c>
      <c r="BN37" s="43">
        <v>0</v>
      </c>
      <c r="BO37" s="43">
        <v>96.27</v>
      </c>
      <c r="BP37" s="43">
        <v>100</v>
      </c>
      <c r="BQ37" s="43">
        <v>0</v>
      </c>
      <c r="BR37" s="43">
        <v>96.37</v>
      </c>
      <c r="BS37" s="43">
        <v>96.37</v>
      </c>
      <c r="BT37" s="43">
        <v>0.22</v>
      </c>
      <c r="BU37" s="43">
        <v>96.59</v>
      </c>
      <c r="BV37" s="43">
        <v>100</v>
      </c>
      <c r="BW37" s="43">
        <v>0</v>
      </c>
      <c r="BX37" s="43">
        <v>96.09</v>
      </c>
      <c r="BY37" s="43">
        <v>96.09</v>
      </c>
      <c r="BZ37" s="43">
        <v>0</v>
      </c>
      <c r="CA37" s="43">
        <v>96.09</v>
      </c>
      <c r="CB37" s="43">
        <v>100</v>
      </c>
      <c r="CC37" s="43">
        <v>0</v>
      </c>
      <c r="CD37" s="43">
        <v>95.94</v>
      </c>
      <c r="CE37" s="43">
        <v>95.94</v>
      </c>
      <c r="CF37" s="43">
        <v>0</v>
      </c>
      <c r="CG37" s="43">
        <v>95.94</v>
      </c>
      <c r="CH37" s="43">
        <v>100</v>
      </c>
      <c r="CI37" s="43">
        <v>0</v>
      </c>
      <c r="CJ37" s="43">
        <v>95.96</v>
      </c>
      <c r="CK37" s="43">
        <v>95.96</v>
      </c>
      <c r="CL37" s="43">
        <f t="shared" si="0"/>
        <v>0</v>
      </c>
      <c r="CM37" s="43">
        <v>95.96</v>
      </c>
      <c r="CN37" s="64"/>
    </row>
    <row r="38" spans="1:92" s="11" customFormat="1" ht="12.95" customHeight="1" thickBot="1">
      <c r="A38" s="41" t="s">
        <v>43</v>
      </c>
      <c r="B38" s="9">
        <v>97.71</v>
      </c>
      <c r="C38" s="9">
        <v>0.15</v>
      </c>
      <c r="D38" s="9">
        <v>31.85</v>
      </c>
      <c r="E38" s="9">
        <v>31.37</v>
      </c>
      <c r="F38" s="9">
        <v>34.9</v>
      </c>
      <c r="G38" s="9">
        <v>66.75</v>
      </c>
      <c r="H38" s="9">
        <v>97.94</v>
      </c>
      <c r="I38" s="9">
        <v>0.93</v>
      </c>
      <c r="J38" s="9">
        <v>41.24</v>
      </c>
      <c r="K38" s="9">
        <v>41.22</v>
      </c>
      <c r="L38" s="9">
        <v>30.06</v>
      </c>
      <c r="M38" s="9">
        <v>71.31</v>
      </c>
      <c r="N38" s="9">
        <v>98.09</v>
      </c>
      <c r="O38" s="9">
        <v>1.1499999999999999</v>
      </c>
      <c r="P38" s="9">
        <v>41.57</v>
      </c>
      <c r="Q38" s="9">
        <v>41.55</v>
      </c>
      <c r="R38" s="9">
        <v>30.24</v>
      </c>
      <c r="S38" s="9">
        <v>71.81</v>
      </c>
      <c r="T38" s="9">
        <v>98.15</v>
      </c>
      <c r="U38" s="9">
        <v>1.43</v>
      </c>
      <c r="V38" s="9">
        <v>41.77</v>
      </c>
      <c r="W38" s="9">
        <v>41.75</v>
      </c>
      <c r="X38" s="9">
        <v>30.24</v>
      </c>
      <c r="Y38" s="9">
        <v>72.010000000000005</v>
      </c>
      <c r="Z38" s="9">
        <v>98.22</v>
      </c>
      <c r="AA38" s="9">
        <v>0.05</v>
      </c>
      <c r="AB38" s="9">
        <v>41.9</v>
      </c>
      <c r="AC38" s="9">
        <v>41.88</v>
      </c>
      <c r="AD38" s="9">
        <v>30.2</v>
      </c>
      <c r="AE38" s="9">
        <v>72.099999999999994</v>
      </c>
      <c r="AF38" s="9">
        <v>98.25</v>
      </c>
      <c r="AG38" s="9">
        <v>0.33</v>
      </c>
      <c r="AH38" s="9">
        <v>54.38</v>
      </c>
      <c r="AI38" s="9">
        <v>54.36</v>
      </c>
      <c r="AJ38" s="9">
        <v>18.300000000000004</v>
      </c>
      <c r="AK38" s="9">
        <v>72.680000000000007</v>
      </c>
      <c r="AL38" s="9">
        <v>98.25</v>
      </c>
      <c r="AM38" s="9">
        <v>1.19</v>
      </c>
      <c r="AN38" s="9">
        <v>55.19</v>
      </c>
      <c r="AO38" s="9">
        <v>55.17</v>
      </c>
      <c r="AP38" s="9">
        <v>18.07</v>
      </c>
      <c r="AQ38" s="9">
        <v>73.260000000000005</v>
      </c>
      <c r="AR38" s="9">
        <v>98.35</v>
      </c>
      <c r="AS38" s="9">
        <v>1.05</v>
      </c>
      <c r="AT38" s="9">
        <v>55.62</v>
      </c>
      <c r="AU38" s="9">
        <v>55.6</v>
      </c>
      <c r="AV38" s="9">
        <v>18.07</v>
      </c>
      <c r="AW38" s="9">
        <v>73.69</v>
      </c>
      <c r="AX38" s="9">
        <v>98.44</v>
      </c>
      <c r="AY38" s="9">
        <v>0.05</v>
      </c>
      <c r="AZ38" s="9">
        <v>55.82</v>
      </c>
      <c r="BA38" s="9">
        <v>55.8</v>
      </c>
      <c r="BB38" s="9">
        <v>18.07</v>
      </c>
      <c r="BC38" s="9">
        <v>73.89</v>
      </c>
      <c r="BD38" s="9">
        <v>98.12</v>
      </c>
      <c r="BE38" s="9">
        <v>1.35</v>
      </c>
      <c r="BF38" s="9">
        <v>55.68</v>
      </c>
      <c r="BG38" s="9">
        <v>55.68</v>
      </c>
      <c r="BH38" s="9">
        <v>18.68</v>
      </c>
      <c r="BI38" s="9">
        <v>74.36</v>
      </c>
      <c r="BJ38" s="9">
        <v>98.16</v>
      </c>
      <c r="BK38" s="9">
        <v>1.53</v>
      </c>
      <c r="BL38" s="9">
        <v>58.74</v>
      </c>
      <c r="BM38" s="9">
        <v>58.74</v>
      </c>
      <c r="BN38" s="9">
        <v>15.33</v>
      </c>
      <c r="BO38" s="9">
        <v>74.069999999999993</v>
      </c>
      <c r="BP38" s="9">
        <v>98.25</v>
      </c>
      <c r="BQ38" s="9">
        <v>0.71</v>
      </c>
      <c r="BR38" s="9">
        <v>58.81</v>
      </c>
      <c r="BS38" s="9">
        <v>58.81</v>
      </c>
      <c r="BT38" s="9">
        <v>11.45</v>
      </c>
      <c r="BU38" s="9">
        <v>70.260000000000005</v>
      </c>
      <c r="BV38" s="9">
        <v>98.27</v>
      </c>
      <c r="BW38" s="9">
        <v>0.55000000000000004</v>
      </c>
      <c r="BX38" s="9">
        <v>59.06</v>
      </c>
      <c r="BY38" s="9">
        <v>58.93</v>
      </c>
      <c r="BZ38" s="9">
        <v>11.12</v>
      </c>
      <c r="CA38" s="9">
        <v>70.180000000000007</v>
      </c>
      <c r="CB38" s="9">
        <v>98.32</v>
      </c>
      <c r="CC38" s="9">
        <v>0.97</v>
      </c>
      <c r="CD38" s="9">
        <v>59.09</v>
      </c>
      <c r="CE38" s="9">
        <v>58.97</v>
      </c>
      <c r="CF38" s="9">
        <v>11.01</v>
      </c>
      <c r="CG38" s="9">
        <v>70.09</v>
      </c>
      <c r="CH38" s="9">
        <v>98.43</v>
      </c>
      <c r="CI38" s="9">
        <v>1.92</v>
      </c>
      <c r="CJ38" s="9">
        <v>59.72</v>
      </c>
      <c r="CK38" s="9">
        <v>59.72</v>
      </c>
      <c r="CL38" s="9">
        <f t="shared" si="0"/>
        <v>10.239999999999995</v>
      </c>
      <c r="CM38" s="9">
        <v>69.959999999999994</v>
      </c>
      <c r="CN38" s="64"/>
    </row>
    <row r="39" spans="1:92" s="11" customFormat="1" ht="12.95" customHeight="1" thickBot="1">
      <c r="A39" s="42" t="s">
        <v>44</v>
      </c>
      <c r="B39" s="43">
        <v>85.92</v>
      </c>
      <c r="C39" s="43">
        <v>0</v>
      </c>
      <c r="D39" s="43">
        <v>3.69</v>
      </c>
      <c r="E39" s="43">
        <v>3.69</v>
      </c>
      <c r="F39" s="43">
        <v>38.72</v>
      </c>
      <c r="G39" s="43">
        <v>42.41</v>
      </c>
      <c r="H39" s="43">
        <v>88.75</v>
      </c>
      <c r="I39" s="43">
        <v>8.3699999999999992</v>
      </c>
      <c r="J39" s="43">
        <v>3.99</v>
      </c>
      <c r="K39" s="43">
        <v>3.79</v>
      </c>
      <c r="L39" s="43">
        <v>39.86</v>
      </c>
      <c r="M39" s="43">
        <v>43.86</v>
      </c>
      <c r="N39" s="43">
        <v>89.6</v>
      </c>
      <c r="O39" s="43">
        <v>3.09</v>
      </c>
      <c r="P39" s="43">
        <v>3.96</v>
      </c>
      <c r="Q39" s="43">
        <v>3.76</v>
      </c>
      <c r="R39" s="43">
        <v>39.979999999999997</v>
      </c>
      <c r="S39" s="43">
        <v>43.94</v>
      </c>
      <c r="T39" s="43">
        <v>89.98</v>
      </c>
      <c r="U39" s="43">
        <v>0</v>
      </c>
      <c r="V39" s="43">
        <v>3.92</v>
      </c>
      <c r="W39" s="43">
        <v>3.72</v>
      </c>
      <c r="X39" s="43">
        <v>40.17</v>
      </c>
      <c r="Y39" s="43">
        <v>44.08</v>
      </c>
      <c r="Z39" s="43">
        <v>90.58</v>
      </c>
      <c r="AA39" s="43">
        <v>0</v>
      </c>
      <c r="AB39" s="43">
        <v>3.86</v>
      </c>
      <c r="AC39" s="43">
        <v>3.66</v>
      </c>
      <c r="AD39" s="43">
        <v>40.11</v>
      </c>
      <c r="AE39" s="43">
        <v>43.97</v>
      </c>
      <c r="AF39" s="43">
        <v>90.77</v>
      </c>
      <c r="AG39" s="43">
        <v>2.86</v>
      </c>
      <c r="AH39" s="43">
        <v>37.729999999999997</v>
      </c>
      <c r="AI39" s="43">
        <v>37.54</v>
      </c>
      <c r="AJ39" s="43">
        <v>5.8900000000000006</v>
      </c>
      <c r="AK39" s="43">
        <v>43.62</v>
      </c>
      <c r="AL39" s="43">
        <v>90.76</v>
      </c>
      <c r="AM39" s="43">
        <v>0</v>
      </c>
      <c r="AN39" s="43">
        <v>38.6</v>
      </c>
      <c r="AO39" s="43">
        <v>38.4</v>
      </c>
      <c r="AP39" s="43">
        <v>6.01</v>
      </c>
      <c r="AQ39" s="43">
        <v>44.61</v>
      </c>
      <c r="AR39" s="43">
        <v>90.98</v>
      </c>
      <c r="AS39" s="43">
        <v>3.04</v>
      </c>
      <c r="AT39" s="43">
        <v>38.67</v>
      </c>
      <c r="AU39" s="43">
        <v>38.47</v>
      </c>
      <c r="AV39" s="43">
        <v>6.1</v>
      </c>
      <c r="AW39" s="43">
        <v>44.77</v>
      </c>
      <c r="AX39" s="43">
        <v>91.84</v>
      </c>
      <c r="AY39" s="43">
        <v>0</v>
      </c>
      <c r="AZ39" s="43">
        <v>38.6</v>
      </c>
      <c r="BA39" s="43">
        <v>38.4</v>
      </c>
      <c r="BB39" s="43">
        <v>6.72</v>
      </c>
      <c r="BC39" s="43">
        <v>45.33</v>
      </c>
      <c r="BD39" s="43">
        <v>90.2</v>
      </c>
      <c r="BE39" s="43">
        <v>0</v>
      </c>
      <c r="BF39" s="43">
        <v>37.5</v>
      </c>
      <c r="BG39" s="43">
        <v>37.5</v>
      </c>
      <c r="BH39" s="43">
        <v>7.3</v>
      </c>
      <c r="BI39" s="43">
        <v>44.8</v>
      </c>
      <c r="BJ39" s="43">
        <v>90.36</v>
      </c>
      <c r="BK39" s="43">
        <v>0.55000000000000004</v>
      </c>
      <c r="BL39" s="43">
        <v>36.729999999999997</v>
      </c>
      <c r="BM39" s="43">
        <v>36.729999999999997</v>
      </c>
      <c r="BN39" s="43">
        <v>7.58</v>
      </c>
      <c r="BO39" s="43">
        <v>44.3</v>
      </c>
      <c r="BP39" s="43">
        <v>89.98</v>
      </c>
      <c r="BQ39" s="43">
        <v>0.18</v>
      </c>
      <c r="BR39" s="43">
        <v>37.159999999999997</v>
      </c>
      <c r="BS39" s="43">
        <v>37.159999999999997</v>
      </c>
      <c r="BT39" s="43">
        <v>5.65</v>
      </c>
      <c r="BU39" s="43">
        <v>42.73</v>
      </c>
      <c r="BV39" s="43">
        <v>90.99</v>
      </c>
      <c r="BW39" s="43">
        <v>0.49</v>
      </c>
      <c r="BX39" s="43">
        <v>37.880000000000003</v>
      </c>
      <c r="BY39" s="43">
        <v>37.880000000000003</v>
      </c>
      <c r="BZ39" s="43">
        <v>5.58</v>
      </c>
      <c r="CA39" s="43">
        <v>43.46</v>
      </c>
      <c r="CB39" s="43">
        <v>91.34</v>
      </c>
      <c r="CC39" s="43">
        <v>0.57999999999999996</v>
      </c>
      <c r="CD39" s="43">
        <v>35.159999999999997</v>
      </c>
      <c r="CE39" s="43">
        <v>35.159999999999997</v>
      </c>
      <c r="CF39" s="43">
        <v>8.86</v>
      </c>
      <c r="CG39" s="43">
        <v>44.02</v>
      </c>
      <c r="CH39" s="43">
        <v>91.19</v>
      </c>
      <c r="CI39" s="43">
        <v>1.34</v>
      </c>
      <c r="CJ39" s="43">
        <v>38.03</v>
      </c>
      <c r="CK39" s="43">
        <v>38.03</v>
      </c>
      <c r="CL39" s="43">
        <f t="shared" si="0"/>
        <v>4.1999999999999957</v>
      </c>
      <c r="CM39" s="43">
        <v>42.23</v>
      </c>
      <c r="CN39" s="64"/>
    </row>
    <row r="40" spans="1:92" s="11" customFormat="1" ht="12.95" customHeight="1" thickBot="1">
      <c r="A40" s="42" t="s">
        <v>45</v>
      </c>
      <c r="B40" s="43">
        <v>99.39</v>
      </c>
      <c r="C40" s="43">
        <v>0.37</v>
      </c>
      <c r="D40" s="43">
        <v>25.96</v>
      </c>
      <c r="E40" s="43">
        <v>25.96</v>
      </c>
      <c r="F40" s="43">
        <v>43.56</v>
      </c>
      <c r="G40" s="43">
        <v>69.52</v>
      </c>
      <c r="H40" s="43">
        <v>99.37</v>
      </c>
      <c r="I40" s="43">
        <v>0</v>
      </c>
      <c r="J40" s="43">
        <v>26.11</v>
      </c>
      <c r="K40" s="43">
        <v>26.11</v>
      </c>
      <c r="L40" s="43">
        <v>44.39</v>
      </c>
      <c r="M40" s="43">
        <v>70.489999999999995</v>
      </c>
      <c r="N40" s="43">
        <v>99.63</v>
      </c>
      <c r="O40" s="43">
        <v>3.03</v>
      </c>
      <c r="P40" s="43">
        <v>27.17</v>
      </c>
      <c r="Q40" s="43">
        <v>27.17</v>
      </c>
      <c r="R40" s="43">
        <v>42.65</v>
      </c>
      <c r="S40" s="43">
        <v>69.83</v>
      </c>
      <c r="T40" s="43">
        <v>99.63</v>
      </c>
      <c r="U40" s="43">
        <v>6.57</v>
      </c>
      <c r="V40" s="43">
        <v>27.27</v>
      </c>
      <c r="W40" s="43">
        <v>27.27</v>
      </c>
      <c r="X40" s="43">
        <v>42.84</v>
      </c>
      <c r="Y40" s="43">
        <v>70.099999999999994</v>
      </c>
      <c r="Z40" s="43">
        <v>99.63</v>
      </c>
      <c r="AA40" s="43">
        <v>0.28000000000000003</v>
      </c>
      <c r="AB40" s="43">
        <v>27.36</v>
      </c>
      <c r="AC40" s="43">
        <v>27.36</v>
      </c>
      <c r="AD40" s="43">
        <v>42.81</v>
      </c>
      <c r="AE40" s="43">
        <v>70.180000000000007</v>
      </c>
      <c r="AF40" s="43">
        <v>99.63</v>
      </c>
      <c r="AG40" s="43">
        <v>0.28999999999999998</v>
      </c>
      <c r="AH40" s="43">
        <v>44.32</v>
      </c>
      <c r="AI40" s="43">
        <v>44.32</v>
      </c>
      <c r="AJ40" s="43">
        <v>26.65</v>
      </c>
      <c r="AK40" s="43">
        <v>70.97</v>
      </c>
      <c r="AL40" s="43">
        <v>99.64</v>
      </c>
      <c r="AM40" s="43">
        <v>5.91</v>
      </c>
      <c r="AN40" s="43">
        <v>43.83</v>
      </c>
      <c r="AO40" s="43">
        <v>43.83</v>
      </c>
      <c r="AP40" s="43">
        <v>27.13</v>
      </c>
      <c r="AQ40" s="43">
        <v>70.959999999999994</v>
      </c>
      <c r="AR40" s="43">
        <v>99.64</v>
      </c>
      <c r="AS40" s="43">
        <v>0</v>
      </c>
      <c r="AT40" s="43">
        <v>43.94</v>
      </c>
      <c r="AU40" s="43">
        <v>43.94</v>
      </c>
      <c r="AV40" s="43">
        <v>28.24</v>
      </c>
      <c r="AW40" s="43">
        <v>72.180000000000007</v>
      </c>
      <c r="AX40" s="43">
        <v>99.64</v>
      </c>
      <c r="AY40" s="43">
        <v>0</v>
      </c>
      <c r="AZ40" s="43">
        <v>44.05</v>
      </c>
      <c r="BA40" s="43">
        <v>44.05</v>
      </c>
      <c r="BB40" s="43">
        <v>28.21</v>
      </c>
      <c r="BC40" s="43">
        <v>72.260000000000005</v>
      </c>
      <c r="BD40" s="43">
        <v>99.8</v>
      </c>
      <c r="BE40" s="43">
        <v>0.31</v>
      </c>
      <c r="BF40" s="43">
        <v>44.11</v>
      </c>
      <c r="BG40" s="43">
        <v>44.11</v>
      </c>
      <c r="BH40" s="43">
        <v>28.57</v>
      </c>
      <c r="BI40" s="43">
        <v>72.680000000000007</v>
      </c>
      <c r="BJ40" s="43">
        <v>99.8</v>
      </c>
      <c r="BK40" s="43">
        <v>0</v>
      </c>
      <c r="BL40" s="43">
        <v>43.69</v>
      </c>
      <c r="BM40" s="43">
        <v>43.69</v>
      </c>
      <c r="BN40" s="43">
        <v>28.93</v>
      </c>
      <c r="BO40" s="43">
        <v>72.62</v>
      </c>
      <c r="BP40" s="43">
        <v>99.79</v>
      </c>
      <c r="BQ40" s="43">
        <v>0.35</v>
      </c>
      <c r="BR40" s="43">
        <v>43.69</v>
      </c>
      <c r="BS40" s="43">
        <v>43.69</v>
      </c>
      <c r="BT40" s="43">
        <v>27.21</v>
      </c>
      <c r="BU40" s="43">
        <v>71.05</v>
      </c>
      <c r="BV40" s="43">
        <v>99.79</v>
      </c>
      <c r="BW40" s="43">
        <v>0.16</v>
      </c>
      <c r="BX40" s="43">
        <v>42.36</v>
      </c>
      <c r="BY40" s="43">
        <v>42.36</v>
      </c>
      <c r="BZ40" s="43">
        <v>29.71</v>
      </c>
      <c r="CA40" s="43">
        <v>72.069999999999993</v>
      </c>
      <c r="CB40" s="43">
        <v>99.76</v>
      </c>
      <c r="CC40" s="43">
        <v>0.05</v>
      </c>
      <c r="CD40" s="43">
        <v>41.05</v>
      </c>
      <c r="CE40" s="43">
        <v>41.05</v>
      </c>
      <c r="CF40" s="43">
        <v>29.25</v>
      </c>
      <c r="CG40" s="43">
        <v>70.3</v>
      </c>
      <c r="CH40" s="43">
        <v>99.77</v>
      </c>
      <c r="CI40" s="43">
        <v>3.75</v>
      </c>
      <c r="CJ40" s="43">
        <v>40.96</v>
      </c>
      <c r="CK40" s="43">
        <v>40.96</v>
      </c>
      <c r="CL40" s="43">
        <f t="shared" si="0"/>
        <v>30.130000000000003</v>
      </c>
      <c r="CM40" s="43">
        <v>71.09</v>
      </c>
      <c r="CN40" s="64"/>
    </row>
    <row r="41" spans="1:92" s="11" customFormat="1" ht="12.95" customHeight="1" thickBot="1">
      <c r="A41" s="42" t="s">
        <v>46</v>
      </c>
      <c r="B41" s="43">
        <v>100</v>
      </c>
      <c r="C41" s="43">
        <v>0</v>
      </c>
      <c r="D41" s="43">
        <v>50.84</v>
      </c>
      <c r="E41" s="43">
        <v>49.79</v>
      </c>
      <c r="F41" s="43">
        <v>19.48</v>
      </c>
      <c r="G41" s="43">
        <v>70.319999999999993</v>
      </c>
      <c r="H41" s="43">
        <v>99.98</v>
      </c>
      <c r="I41" s="43">
        <v>0</v>
      </c>
      <c r="J41" s="43">
        <v>54.1</v>
      </c>
      <c r="K41" s="43">
        <v>54.1</v>
      </c>
      <c r="L41" s="43">
        <v>24.1</v>
      </c>
      <c r="M41" s="43">
        <v>78.2</v>
      </c>
      <c r="N41" s="43">
        <v>99.98</v>
      </c>
      <c r="O41" s="43">
        <v>0</v>
      </c>
      <c r="P41" s="43">
        <v>54.32</v>
      </c>
      <c r="Q41" s="43">
        <v>54.32</v>
      </c>
      <c r="R41" s="43">
        <v>25.16</v>
      </c>
      <c r="S41" s="43">
        <v>79.48</v>
      </c>
      <c r="T41" s="43">
        <v>100</v>
      </c>
      <c r="U41" s="43">
        <v>0</v>
      </c>
      <c r="V41" s="43">
        <v>54.6</v>
      </c>
      <c r="W41" s="43">
        <v>54.6</v>
      </c>
      <c r="X41" s="43">
        <v>25.04</v>
      </c>
      <c r="Y41" s="43">
        <v>79.64</v>
      </c>
      <c r="Z41" s="43">
        <v>100</v>
      </c>
      <c r="AA41" s="43">
        <v>0</v>
      </c>
      <c r="AB41" s="43">
        <v>54.88</v>
      </c>
      <c r="AC41" s="43">
        <v>54.88</v>
      </c>
      <c r="AD41" s="43">
        <v>24.91</v>
      </c>
      <c r="AE41" s="43">
        <v>79.790000000000006</v>
      </c>
      <c r="AF41" s="43">
        <v>99.97</v>
      </c>
      <c r="AG41" s="43">
        <v>0</v>
      </c>
      <c r="AH41" s="43">
        <v>64.099999999999994</v>
      </c>
      <c r="AI41" s="43">
        <v>64.099999999999994</v>
      </c>
      <c r="AJ41" s="43">
        <v>16.300000000000011</v>
      </c>
      <c r="AK41" s="43">
        <v>80.400000000000006</v>
      </c>
      <c r="AL41" s="43">
        <v>99.97</v>
      </c>
      <c r="AM41" s="43">
        <v>0</v>
      </c>
      <c r="AN41" s="43">
        <v>65.83</v>
      </c>
      <c r="AO41" s="43">
        <v>65.83</v>
      </c>
      <c r="AP41" s="43">
        <v>14.91</v>
      </c>
      <c r="AQ41" s="43">
        <v>80.739999999999995</v>
      </c>
      <c r="AR41" s="43">
        <v>100</v>
      </c>
      <c r="AS41" s="43">
        <v>0.32</v>
      </c>
      <c r="AT41" s="43">
        <v>66.510000000000005</v>
      </c>
      <c r="AU41" s="43">
        <v>66.510000000000005</v>
      </c>
      <c r="AV41" s="43">
        <v>14.84</v>
      </c>
      <c r="AW41" s="43">
        <v>81.349999999999994</v>
      </c>
      <c r="AX41" s="43">
        <v>100</v>
      </c>
      <c r="AY41" s="43">
        <v>0</v>
      </c>
      <c r="AZ41" s="43">
        <v>66.81</v>
      </c>
      <c r="BA41" s="43">
        <v>66.81</v>
      </c>
      <c r="BB41" s="43">
        <v>14.77</v>
      </c>
      <c r="BC41" s="43">
        <v>81.569999999999993</v>
      </c>
      <c r="BD41" s="43">
        <v>99.99</v>
      </c>
      <c r="BE41" s="43">
        <v>1.0900000000000001</v>
      </c>
      <c r="BF41" s="43">
        <v>67.03</v>
      </c>
      <c r="BG41" s="43">
        <v>67.03</v>
      </c>
      <c r="BH41" s="43">
        <v>15.66</v>
      </c>
      <c r="BI41" s="43">
        <v>82.69</v>
      </c>
      <c r="BJ41" s="43">
        <v>99.99</v>
      </c>
      <c r="BK41" s="43">
        <v>1.68</v>
      </c>
      <c r="BL41" s="43">
        <v>74.02</v>
      </c>
      <c r="BM41" s="43">
        <v>74.02</v>
      </c>
      <c r="BN41" s="43">
        <v>8.42</v>
      </c>
      <c r="BO41" s="43">
        <v>82.44</v>
      </c>
      <c r="BP41" s="43">
        <v>99.96</v>
      </c>
      <c r="BQ41" s="43">
        <v>0.85</v>
      </c>
      <c r="BR41" s="43">
        <v>73.83</v>
      </c>
      <c r="BS41" s="43">
        <v>73.83</v>
      </c>
      <c r="BT41" s="43">
        <v>1.96</v>
      </c>
      <c r="BU41" s="43">
        <v>75.88</v>
      </c>
      <c r="BV41" s="43">
        <v>99.97</v>
      </c>
      <c r="BW41" s="43">
        <v>0.78</v>
      </c>
      <c r="BX41" s="43">
        <v>73.95</v>
      </c>
      <c r="BY41" s="43">
        <v>73.7</v>
      </c>
      <c r="BZ41" s="43">
        <v>1.24</v>
      </c>
      <c r="CA41" s="43">
        <v>75.19</v>
      </c>
      <c r="CB41" s="43">
        <v>99.97</v>
      </c>
      <c r="CC41" s="43">
        <v>1.6</v>
      </c>
      <c r="CD41" s="43">
        <v>74.62</v>
      </c>
      <c r="CE41" s="43">
        <v>74.38</v>
      </c>
      <c r="CF41" s="43">
        <v>0.78</v>
      </c>
      <c r="CG41" s="43">
        <v>75.400000000000006</v>
      </c>
      <c r="CH41" s="43">
        <v>99.97</v>
      </c>
      <c r="CI41" s="43">
        <v>1.82</v>
      </c>
      <c r="CJ41" s="43">
        <v>75.47</v>
      </c>
      <c r="CK41" s="43">
        <v>75.47</v>
      </c>
      <c r="CL41" s="43">
        <f t="shared" si="0"/>
        <v>0.10999999999999943</v>
      </c>
      <c r="CM41" s="43">
        <v>75.58</v>
      </c>
      <c r="CN41" s="64"/>
    </row>
    <row r="42" spans="1:92" s="11" customFormat="1" ht="12.95" customHeight="1" thickBot="1">
      <c r="A42" s="42" t="s">
        <v>47</v>
      </c>
      <c r="B42" s="43">
        <v>91.81</v>
      </c>
      <c r="C42" s="43">
        <v>0</v>
      </c>
      <c r="D42" s="43">
        <v>39.04</v>
      </c>
      <c r="E42" s="43">
        <v>39.04</v>
      </c>
      <c r="F42" s="43">
        <v>26.33</v>
      </c>
      <c r="G42" s="43">
        <v>65.37</v>
      </c>
      <c r="H42" s="43">
        <v>91.67</v>
      </c>
      <c r="I42" s="43">
        <v>0</v>
      </c>
      <c r="J42" s="43">
        <v>39.01</v>
      </c>
      <c r="K42" s="43">
        <v>39.01</v>
      </c>
      <c r="L42" s="43">
        <v>29.99</v>
      </c>
      <c r="M42" s="43">
        <v>69</v>
      </c>
      <c r="N42" s="43">
        <v>91.78</v>
      </c>
      <c r="O42" s="43">
        <v>0</v>
      </c>
      <c r="P42" s="43">
        <v>39.119999999999997</v>
      </c>
      <c r="Q42" s="43">
        <v>39.119999999999997</v>
      </c>
      <c r="R42" s="43">
        <v>29.94</v>
      </c>
      <c r="S42" s="43">
        <v>69.05</v>
      </c>
      <c r="T42" s="43">
        <v>91.82</v>
      </c>
      <c r="U42" s="43">
        <v>0</v>
      </c>
      <c r="V42" s="43">
        <v>39.28</v>
      </c>
      <c r="W42" s="43">
        <v>39.28</v>
      </c>
      <c r="X42" s="43">
        <v>29.95</v>
      </c>
      <c r="Y42" s="43">
        <v>69.23</v>
      </c>
      <c r="Z42" s="43">
        <v>91.86</v>
      </c>
      <c r="AA42" s="43">
        <v>0</v>
      </c>
      <c r="AB42" s="43">
        <v>39.46</v>
      </c>
      <c r="AC42" s="43">
        <v>39.46</v>
      </c>
      <c r="AD42" s="43">
        <v>29.94</v>
      </c>
      <c r="AE42" s="43">
        <v>69.400000000000006</v>
      </c>
      <c r="AF42" s="43">
        <v>92.15</v>
      </c>
      <c r="AG42" s="43">
        <v>0</v>
      </c>
      <c r="AH42" s="43">
        <v>41.96</v>
      </c>
      <c r="AI42" s="43">
        <v>41.96</v>
      </c>
      <c r="AJ42" s="43">
        <v>28.65</v>
      </c>
      <c r="AK42" s="43">
        <v>70.61</v>
      </c>
      <c r="AL42" s="43">
        <v>92.21</v>
      </c>
      <c r="AM42" s="43">
        <v>0</v>
      </c>
      <c r="AN42" s="43">
        <v>42.4</v>
      </c>
      <c r="AO42" s="43">
        <v>42.4</v>
      </c>
      <c r="AP42" s="43">
        <v>31.85</v>
      </c>
      <c r="AQ42" s="43">
        <v>74.239999999999995</v>
      </c>
      <c r="AR42" s="43">
        <v>92.9</v>
      </c>
      <c r="AS42" s="43">
        <v>0</v>
      </c>
      <c r="AT42" s="43">
        <v>42.89</v>
      </c>
      <c r="AU42" s="43">
        <v>42.89</v>
      </c>
      <c r="AV42" s="43">
        <v>29.75</v>
      </c>
      <c r="AW42" s="43">
        <v>72.64</v>
      </c>
      <c r="AX42" s="43">
        <v>92.98</v>
      </c>
      <c r="AY42" s="43">
        <v>0</v>
      </c>
      <c r="AZ42" s="43">
        <v>43.13</v>
      </c>
      <c r="BA42" s="43">
        <v>43.13</v>
      </c>
      <c r="BB42" s="43">
        <v>29.75</v>
      </c>
      <c r="BC42" s="43">
        <v>72.88</v>
      </c>
      <c r="BD42" s="43">
        <v>91</v>
      </c>
      <c r="BE42" s="43">
        <v>2.35</v>
      </c>
      <c r="BF42" s="43">
        <v>43.05</v>
      </c>
      <c r="BG42" s="43">
        <v>43.05</v>
      </c>
      <c r="BH42" s="43">
        <v>30.07</v>
      </c>
      <c r="BI42" s="43">
        <v>73.12</v>
      </c>
      <c r="BJ42" s="43">
        <v>91.51</v>
      </c>
      <c r="BK42" s="43">
        <v>8.2200000000000006</v>
      </c>
      <c r="BL42" s="43">
        <v>42.74</v>
      </c>
      <c r="BM42" s="43">
        <v>42.74</v>
      </c>
      <c r="BN42" s="43">
        <v>30.69</v>
      </c>
      <c r="BO42" s="43">
        <v>73.430000000000007</v>
      </c>
      <c r="BP42" s="43">
        <v>93.8</v>
      </c>
      <c r="BQ42" s="43">
        <v>3.15</v>
      </c>
      <c r="BR42" s="43">
        <v>43.98</v>
      </c>
      <c r="BS42" s="43">
        <v>43.98</v>
      </c>
      <c r="BT42" s="43">
        <v>29.37</v>
      </c>
      <c r="BU42" s="43">
        <v>72.86</v>
      </c>
      <c r="BV42" s="43">
        <v>92.06</v>
      </c>
      <c r="BW42" s="43">
        <v>2.96</v>
      </c>
      <c r="BX42" s="43">
        <v>45.23</v>
      </c>
      <c r="BY42" s="43">
        <v>45.23</v>
      </c>
      <c r="BZ42" s="43">
        <v>26.03</v>
      </c>
      <c r="CA42" s="43">
        <v>71.25</v>
      </c>
      <c r="CB42" s="43">
        <v>91.96</v>
      </c>
      <c r="CC42" s="43">
        <v>0.89</v>
      </c>
      <c r="CD42" s="43">
        <v>45.19</v>
      </c>
      <c r="CE42" s="43">
        <v>45.19</v>
      </c>
      <c r="CF42" s="43">
        <v>26.08</v>
      </c>
      <c r="CG42" s="43">
        <v>71.27</v>
      </c>
      <c r="CH42" s="43">
        <v>93.91</v>
      </c>
      <c r="CI42" s="43">
        <v>2.2400000000000002</v>
      </c>
      <c r="CJ42" s="43">
        <v>45.3</v>
      </c>
      <c r="CK42" s="43">
        <v>45.3</v>
      </c>
      <c r="CL42" s="43">
        <f t="shared" si="0"/>
        <v>25.400000000000006</v>
      </c>
      <c r="CM42" s="43">
        <v>70.7</v>
      </c>
      <c r="CN42" s="64"/>
    </row>
    <row r="43" spans="1:92" s="11" customFormat="1" ht="12.95" customHeight="1" thickBot="1">
      <c r="A43" s="42" t="s">
        <v>48</v>
      </c>
      <c r="B43" s="43">
        <v>99.5</v>
      </c>
      <c r="C43" s="43">
        <v>0.44</v>
      </c>
      <c r="D43" s="43">
        <v>0</v>
      </c>
      <c r="E43" s="43">
        <v>0</v>
      </c>
      <c r="F43" s="43">
        <v>69.239999999999995</v>
      </c>
      <c r="G43" s="43">
        <v>69.239999999999995</v>
      </c>
      <c r="H43" s="43">
        <v>99.48</v>
      </c>
      <c r="I43" s="43">
        <v>0.4</v>
      </c>
      <c r="J43" s="43">
        <v>46.71</v>
      </c>
      <c r="K43" s="43">
        <v>46.71</v>
      </c>
      <c r="L43" s="43">
        <v>24.54</v>
      </c>
      <c r="M43" s="43">
        <v>71.25</v>
      </c>
      <c r="N43" s="43">
        <v>99.49</v>
      </c>
      <c r="O43" s="43">
        <v>1.63</v>
      </c>
      <c r="P43" s="43">
        <v>46.74</v>
      </c>
      <c r="Q43" s="43">
        <v>46.74</v>
      </c>
      <c r="R43" s="43">
        <v>24.6</v>
      </c>
      <c r="S43" s="43">
        <v>71.34</v>
      </c>
      <c r="T43" s="43">
        <v>99.49</v>
      </c>
      <c r="U43" s="43">
        <v>1.26</v>
      </c>
      <c r="V43" s="43">
        <v>46.85</v>
      </c>
      <c r="W43" s="43">
        <v>46.85</v>
      </c>
      <c r="X43" s="43">
        <v>24.65</v>
      </c>
      <c r="Y43" s="43">
        <v>71.5</v>
      </c>
      <c r="Z43" s="43">
        <v>99.48</v>
      </c>
      <c r="AA43" s="43">
        <v>0</v>
      </c>
      <c r="AB43" s="43">
        <v>46.7</v>
      </c>
      <c r="AC43" s="43">
        <v>46.7</v>
      </c>
      <c r="AD43" s="43">
        <v>24.86</v>
      </c>
      <c r="AE43" s="43">
        <v>71.56</v>
      </c>
      <c r="AF43" s="43">
        <v>99.47</v>
      </c>
      <c r="AG43" s="43">
        <v>0</v>
      </c>
      <c r="AH43" s="43">
        <v>54.51</v>
      </c>
      <c r="AI43" s="43">
        <v>54.51</v>
      </c>
      <c r="AJ43" s="43">
        <v>17.670000000000009</v>
      </c>
      <c r="AK43" s="43">
        <v>72.180000000000007</v>
      </c>
      <c r="AL43" s="43">
        <v>99.46</v>
      </c>
      <c r="AM43" s="43">
        <v>0.52</v>
      </c>
      <c r="AN43" s="43">
        <v>54.1</v>
      </c>
      <c r="AO43" s="43">
        <v>54.1</v>
      </c>
      <c r="AP43" s="43">
        <v>18.27</v>
      </c>
      <c r="AQ43" s="43">
        <v>72.37</v>
      </c>
      <c r="AR43" s="43">
        <v>99.49</v>
      </c>
      <c r="AS43" s="43">
        <v>3.64</v>
      </c>
      <c r="AT43" s="43">
        <v>54.17</v>
      </c>
      <c r="AU43" s="43">
        <v>54.17</v>
      </c>
      <c r="AV43" s="43">
        <v>18.39</v>
      </c>
      <c r="AW43" s="43">
        <v>72.56</v>
      </c>
      <c r="AX43" s="43">
        <v>99.48</v>
      </c>
      <c r="AY43" s="43">
        <v>0.28000000000000003</v>
      </c>
      <c r="AZ43" s="43">
        <v>54.24</v>
      </c>
      <c r="BA43" s="43">
        <v>54.24</v>
      </c>
      <c r="BB43" s="43">
        <v>18.489999999999998</v>
      </c>
      <c r="BC43" s="43">
        <v>72.73</v>
      </c>
      <c r="BD43" s="43">
        <v>99.46</v>
      </c>
      <c r="BE43" s="43">
        <v>3.73</v>
      </c>
      <c r="BF43" s="43">
        <v>53.54</v>
      </c>
      <c r="BG43" s="43">
        <v>53.54</v>
      </c>
      <c r="BH43" s="43">
        <v>19.059999999999999</v>
      </c>
      <c r="BI43" s="43">
        <v>72.61</v>
      </c>
      <c r="BJ43" s="43">
        <v>99.45</v>
      </c>
      <c r="BK43" s="43">
        <v>0.62</v>
      </c>
      <c r="BL43" s="43">
        <v>53.24</v>
      </c>
      <c r="BM43" s="43">
        <v>53.24</v>
      </c>
      <c r="BN43" s="43">
        <v>19.05</v>
      </c>
      <c r="BO43" s="43">
        <v>72.290000000000006</v>
      </c>
      <c r="BP43" s="43">
        <v>99.44</v>
      </c>
      <c r="BQ43" s="43">
        <v>0</v>
      </c>
      <c r="BR43" s="43">
        <v>53.2</v>
      </c>
      <c r="BS43" s="43">
        <v>53.2</v>
      </c>
      <c r="BT43" s="43">
        <v>18.23</v>
      </c>
      <c r="BU43" s="43">
        <v>71.33</v>
      </c>
      <c r="BV43" s="43">
        <v>99.43</v>
      </c>
      <c r="BW43" s="43">
        <v>1.05</v>
      </c>
      <c r="BX43" s="43">
        <v>53.71</v>
      </c>
      <c r="BY43" s="43">
        <v>53.71</v>
      </c>
      <c r="BZ43" s="43">
        <v>17.690000000000001</v>
      </c>
      <c r="CA43" s="43">
        <v>71.400000000000006</v>
      </c>
      <c r="CB43" s="43">
        <v>99.4</v>
      </c>
      <c r="CC43" s="43">
        <v>0.34</v>
      </c>
      <c r="CD43" s="43">
        <v>54.21</v>
      </c>
      <c r="CE43" s="43">
        <v>54.21</v>
      </c>
      <c r="CF43" s="43">
        <v>17.100000000000001</v>
      </c>
      <c r="CG43" s="43">
        <v>71.31</v>
      </c>
      <c r="CH43" s="43">
        <v>99.39</v>
      </c>
      <c r="CI43" s="43">
        <v>0.52</v>
      </c>
      <c r="CJ43" s="43">
        <v>53.65</v>
      </c>
      <c r="CK43" s="43">
        <v>53.65</v>
      </c>
      <c r="CL43" s="43">
        <f t="shared" si="0"/>
        <v>17.339999999999996</v>
      </c>
      <c r="CM43" s="43">
        <v>70.989999999999995</v>
      </c>
      <c r="CN43" s="64"/>
    </row>
    <row r="46" spans="1:92" ht="24" customHeight="1">
      <c r="A46" s="91" t="s">
        <v>68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</row>
    <row r="47" spans="1:92" ht="11.25">
      <c r="A47" s="86" t="s">
        <v>69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</row>
    <row r="48" spans="1:92" ht="24.75" customHeight="1">
      <c r="A48" s="87" t="s">
        <v>71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</row>
    <row r="49" spans="1:1" ht="14.25" customHeight="1">
      <c r="A49" s="66"/>
    </row>
    <row r="50" spans="1:1" ht="13.5" customHeight="1">
      <c r="A50" s="67"/>
    </row>
  </sheetData>
  <mergeCells count="109">
    <mergeCell ref="BX5:BX6"/>
    <mergeCell ref="BW5:BW6"/>
    <mergeCell ref="BV5:BV6"/>
    <mergeCell ref="BP4:BU4"/>
    <mergeCell ref="BU5:BU6"/>
    <mergeCell ref="BT5:BT6"/>
    <mergeCell ref="BQ5:BQ6"/>
    <mergeCell ref="BP5:BP6"/>
    <mergeCell ref="CH4:CM4"/>
    <mergeCell ref="CH5:CH6"/>
    <mergeCell ref="CI5:CI6"/>
    <mergeCell ref="CJ5:CJ6"/>
    <mergeCell ref="CK5:CK6"/>
    <mergeCell ref="CL5:CL6"/>
    <mergeCell ref="CM5:CM6"/>
    <mergeCell ref="A4:A6"/>
    <mergeCell ref="A47:L47"/>
    <mergeCell ref="A48:M48"/>
    <mergeCell ref="CB4:CG4"/>
    <mergeCell ref="CB5:CB6"/>
    <mergeCell ref="CC5:CC6"/>
    <mergeCell ref="CD5:CD6"/>
    <mergeCell ref="CE5:CE6"/>
    <mergeCell ref="CF5:CF6"/>
    <mergeCell ref="CG5:CG6"/>
    <mergeCell ref="BS5:BS6"/>
    <mergeCell ref="A46:M46"/>
    <mergeCell ref="BJ5:BJ6"/>
    <mergeCell ref="BJ4:BO4"/>
    <mergeCell ref="BK5:BK6"/>
    <mergeCell ref="BR5:BR6"/>
    <mergeCell ref="BV4:CA4"/>
    <mergeCell ref="BO5:BO6"/>
    <mergeCell ref="BN5:BN6"/>
    <mergeCell ref="BM5:BM6"/>
    <mergeCell ref="BL5:BL6"/>
    <mergeCell ref="CA5:CA6"/>
    <mergeCell ref="BZ5:BZ6"/>
    <mergeCell ref="BY5:BY6"/>
    <mergeCell ref="AX4:BC4"/>
    <mergeCell ref="AX5:AX6"/>
    <mergeCell ref="AY5:AY6"/>
    <mergeCell ref="AZ5:AZ6"/>
    <mergeCell ref="BA5:BA6"/>
    <mergeCell ref="BB5:BB6"/>
    <mergeCell ref="BC5:BC6"/>
    <mergeCell ref="BD4:BI4"/>
    <mergeCell ref="BD5:BD6"/>
    <mergeCell ref="BE5:BE6"/>
    <mergeCell ref="BF5:BF6"/>
    <mergeCell ref="BG5:BG6"/>
    <mergeCell ref="BH5:BH6"/>
    <mergeCell ref="BI5:BI6"/>
    <mergeCell ref="AL4:AQ4"/>
    <mergeCell ref="AR4:AW4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C5:AC6"/>
    <mergeCell ref="AD5:AD6"/>
    <mergeCell ref="N4:S4"/>
    <mergeCell ref="T4:Y4"/>
    <mergeCell ref="Z4:AE4"/>
    <mergeCell ref="AF4:AK4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B4:G4"/>
    <mergeCell ref="B5:B6"/>
    <mergeCell ref="C5:C6"/>
    <mergeCell ref="D5:D6"/>
    <mergeCell ref="E5:E6"/>
    <mergeCell ref="F5:F6"/>
    <mergeCell ref="G5:G6"/>
    <mergeCell ref="AJ5:AJ6"/>
    <mergeCell ref="AK5:AK6"/>
    <mergeCell ref="H4:M4"/>
    <mergeCell ref="H5:H6"/>
    <mergeCell ref="I5:I6"/>
    <mergeCell ref="J5:J6"/>
    <mergeCell ref="K5:K6"/>
    <mergeCell ref="L5:L6"/>
    <mergeCell ref="M5:M6"/>
    <mergeCell ref="AE5:AE6"/>
    <mergeCell ref="AF5:AF6"/>
    <mergeCell ref="AG5:AG6"/>
    <mergeCell ref="AH5:AH6"/>
    <mergeCell ref="AI5:AI6"/>
    <mergeCell ref="Z5:Z6"/>
    <mergeCell ref="AA5:AA6"/>
    <mergeCell ref="AB5:AB6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6"/>
  <sheetViews>
    <sheetView showGridLines="0" zoomScaleNormal="100" workbookViewId="0"/>
  </sheetViews>
  <sheetFormatPr defaultColWidth="9.140625" defaultRowHeight="12" customHeight="1"/>
  <cols>
    <col min="1" max="1" width="53.85546875" style="15" customWidth="1"/>
    <col min="2" max="2" width="9.140625" style="7" customWidth="1"/>
    <col min="3" max="4" width="9.140625" style="11" customWidth="1"/>
    <col min="5" max="5" width="9.140625" style="12" customWidth="1"/>
    <col min="6" max="7" width="9.140625" style="11" customWidth="1"/>
    <col min="8" max="11" width="9.140625" style="7" customWidth="1"/>
    <col min="12" max="12" width="9.140625" style="11" customWidth="1"/>
    <col min="13" max="16384" width="9.140625" style="7"/>
  </cols>
  <sheetData>
    <row r="1" spans="1:16" ht="15" customHeight="1"/>
    <row r="2" spans="1:16" ht="33" customHeight="1">
      <c r="A2" s="96" t="s">
        <v>65</v>
      </c>
      <c r="B2" s="96"/>
      <c r="C2" s="96"/>
      <c r="D2" s="96"/>
      <c r="E2" s="96"/>
      <c r="F2" s="96"/>
      <c r="G2" s="61"/>
      <c r="H2" s="61"/>
      <c r="I2" s="61"/>
      <c r="J2" s="11"/>
      <c r="K2" s="11"/>
    </row>
    <row r="3" spans="1:16" ht="13.5" customHeight="1" thickBot="1">
      <c r="A3" s="13"/>
      <c r="C3" s="12"/>
      <c r="D3" s="19"/>
      <c r="E3" s="19"/>
      <c r="F3" s="19"/>
      <c r="J3" s="19"/>
      <c r="P3" s="19" t="s">
        <v>57</v>
      </c>
    </row>
    <row r="4" spans="1:16" s="16" customFormat="1" ht="17.25" customHeight="1" thickBot="1">
      <c r="A4" s="32" t="s">
        <v>58</v>
      </c>
      <c r="B4" s="20">
        <v>2010</v>
      </c>
      <c r="C4" s="20">
        <v>2011</v>
      </c>
      <c r="D4" s="20">
        <v>2012</v>
      </c>
      <c r="E4" s="20">
        <v>2013</v>
      </c>
      <c r="F4" s="20">
        <v>2014</v>
      </c>
      <c r="G4" s="20">
        <v>2015</v>
      </c>
      <c r="H4" s="20">
        <v>2016</v>
      </c>
      <c r="I4" s="20">
        <v>2017</v>
      </c>
      <c r="J4" s="20">
        <v>2018</v>
      </c>
      <c r="K4" s="20">
        <v>2019</v>
      </c>
      <c r="L4" s="20">
        <v>2020</v>
      </c>
      <c r="M4" s="49">
        <v>2021</v>
      </c>
      <c r="N4" s="57" t="s">
        <v>78</v>
      </c>
      <c r="O4" s="60" t="s">
        <v>77</v>
      </c>
      <c r="P4" s="60" t="s">
        <v>75</v>
      </c>
    </row>
    <row r="5" spans="1:16" s="16" customFormat="1" ht="17.25" customHeight="1" thickBot="1">
      <c r="A5" s="46" t="s">
        <v>49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  <c r="P5" s="48"/>
    </row>
    <row r="6" spans="1:16" s="14" customFormat="1" ht="14.1" customHeight="1" thickBot="1">
      <c r="A6" s="33" t="s">
        <v>0</v>
      </c>
      <c r="B6" s="71">
        <v>99.09</v>
      </c>
      <c r="C6" s="71">
        <v>99.2</v>
      </c>
      <c r="D6" s="71">
        <v>99.26</v>
      </c>
      <c r="E6" s="71">
        <v>99.28</v>
      </c>
      <c r="F6" s="71">
        <v>99.31</v>
      </c>
      <c r="G6" s="71">
        <v>99.33</v>
      </c>
      <c r="H6" s="71">
        <v>99.33</v>
      </c>
      <c r="I6" s="71">
        <v>99.42</v>
      </c>
      <c r="J6" s="71">
        <v>99.51</v>
      </c>
      <c r="K6" s="38">
        <v>99.41</v>
      </c>
      <c r="L6" s="38">
        <v>99.44</v>
      </c>
      <c r="M6" s="50">
        <v>99.42</v>
      </c>
      <c r="N6" s="50">
        <v>99.45</v>
      </c>
      <c r="O6" s="50">
        <v>99.4</v>
      </c>
      <c r="P6" s="50">
        <v>99.49</v>
      </c>
    </row>
    <row r="7" spans="1:16" s="14" customFormat="1" ht="14.1" customHeight="1" thickBot="1">
      <c r="A7" s="34" t="s">
        <v>2</v>
      </c>
      <c r="B7" s="38">
        <v>0.98</v>
      </c>
      <c r="C7" s="38">
        <v>2.97</v>
      </c>
      <c r="D7" s="38">
        <v>4.49</v>
      </c>
      <c r="E7" s="38">
        <v>2.92</v>
      </c>
      <c r="F7" s="38">
        <v>0.6</v>
      </c>
      <c r="G7" s="38">
        <v>1.74</v>
      </c>
      <c r="H7" s="38">
        <v>2.0699999999999998</v>
      </c>
      <c r="I7" s="38">
        <v>2.99</v>
      </c>
      <c r="J7" s="38">
        <v>1.07</v>
      </c>
      <c r="K7" s="38">
        <v>5.95</v>
      </c>
      <c r="L7" s="38">
        <v>3.92</v>
      </c>
      <c r="M7" s="38">
        <v>2.98</v>
      </c>
      <c r="N7" s="55">
        <v>2.06</v>
      </c>
      <c r="O7" s="38">
        <v>4.62</v>
      </c>
      <c r="P7" s="38">
        <v>5.77</v>
      </c>
    </row>
    <row r="8" spans="1:16" s="14" customFormat="1" ht="14.1" customHeight="1" thickBot="1">
      <c r="A8" s="33" t="s">
        <v>53</v>
      </c>
      <c r="B8" s="71">
        <v>47.76</v>
      </c>
      <c r="C8" s="71">
        <v>55.8</v>
      </c>
      <c r="D8" s="71">
        <v>56.06</v>
      </c>
      <c r="E8" s="71">
        <v>56.44</v>
      </c>
      <c r="F8" s="71">
        <v>56.76</v>
      </c>
      <c r="G8" s="71">
        <v>62.3</v>
      </c>
      <c r="H8" s="71">
        <v>63.14</v>
      </c>
      <c r="I8" s="71">
        <v>63.42</v>
      </c>
      <c r="J8" s="71">
        <v>63.92</v>
      </c>
      <c r="K8" s="38">
        <v>64.61</v>
      </c>
      <c r="L8" s="38">
        <v>66.650000000000006</v>
      </c>
      <c r="M8" s="38">
        <v>66.790000000000006</v>
      </c>
      <c r="N8" s="38">
        <v>67.168999999999997</v>
      </c>
      <c r="O8" s="38">
        <v>67.37</v>
      </c>
      <c r="P8" s="63">
        <v>67.569999999999993</v>
      </c>
    </row>
    <row r="9" spans="1:16" s="14" customFormat="1" ht="14.1" customHeight="1" thickBot="1">
      <c r="A9" s="33" t="s">
        <v>50</v>
      </c>
      <c r="B9" s="71">
        <v>45.1</v>
      </c>
      <c r="C9" s="71">
        <v>53.63</v>
      </c>
      <c r="D9" s="71">
        <v>53.89</v>
      </c>
      <c r="E9" s="71">
        <v>54.54</v>
      </c>
      <c r="F9" s="71">
        <v>54.77</v>
      </c>
      <c r="G9" s="71">
        <v>60.62</v>
      </c>
      <c r="H9" s="71">
        <v>61.8</v>
      </c>
      <c r="I9" s="71">
        <v>63.19</v>
      </c>
      <c r="J9" s="71">
        <v>63.72</v>
      </c>
      <c r="K9" s="38">
        <v>64.510000000000005</v>
      </c>
      <c r="L9" s="38">
        <v>65.05</v>
      </c>
      <c r="M9" s="38">
        <v>65.61</v>
      </c>
      <c r="N9" s="38">
        <v>67.028999999999996</v>
      </c>
      <c r="O9" s="38">
        <v>67.23</v>
      </c>
      <c r="P9" s="38">
        <v>67.459999999999994</v>
      </c>
    </row>
    <row r="10" spans="1:16" ht="14.1" customHeight="1" thickBot="1">
      <c r="A10" s="35" t="s">
        <v>10</v>
      </c>
      <c r="B10" s="56">
        <v>22.86</v>
      </c>
      <c r="C10" s="56">
        <v>18.28</v>
      </c>
      <c r="D10" s="56">
        <v>18.27</v>
      </c>
      <c r="E10" s="56">
        <v>18.260000000000002</v>
      </c>
      <c r="F10" s="56">
        <v>18.12</v>
      </c>
      <c r="G10" s="56">
        <v>13.200000000000003</v>
      </c>
      <c r="H10" s="56">
        <v>12.55</v>
      </c>
      <c r="I10" s="56">
        <v>12.61</v>
      </c>
      <c r="J10" s="56">
        <v>12.27</v>
      </c>
      <c r="K10" s="38">
        <v>11.81</v>
      </c>
      <c r="L10" s="38">
        <v>9.6</v>
      </c>
      <c r="M10" s="38">
        <v>8.01</v>
      </c>
      <c r="N10" s="38">
        <v>7.855000000000004</v>
      </c>
      <c r="O10" s="38">
        <v>7.79</v>
      </c>
      <c r="P10" s="38">
        <f>P11-P8</f>
        <v>7.8700000000000045</v>
      </c>
    </row>
    <row r="11" spans="1:16" s="14" customFormat="1" ht="14.1" customHeight="1" thickBot="1">
      <c r="A11" s="35" t="s">
        <v>51</v>
      </c>
      <c r="B11" s="56">
        <v>70.62</v>
      </c>
      <c r="C11" s="56">
        <v>74.09</v>
      </c>
      <c r="D11" s="56">
        <v>74.33</v>
      </c>
      <c r="E11" s="56">
        <v>74.7</v>
      </c>
      <c r="F11" s="56">
        <v>74.88</v>
      </c>
      <c r="G11" s="56">
        <v>75.5</v>
      </c>
      <c r="H11" s="56">
        <v>75.69</v>
      </c>
      <c r="I11" s="56">
        <v>76.03</v>
      </c>
      <c r="J11" s="56">
        <v>76.19</v>
      </c>
      <c r="K11" s="38">
        <v>76.42</v>
      </c>
      <c r="L11" s="38">
        <v>76.25</v>
      </c>
      <c r="M11" s="38">
        <v>74.790000000000006</v>
      </c>
      <c r="N11" s="38">
        <v>75.024000000000001</v>
      </c>
      <c r="O11" s="38">
        <v>75.16</v>
      </c>
      <c r="P11" s="38">
        <v>75.44</v>
      </c>
    </row>
    <row r="12" spans="1:16" s="16" customFormat="1" ht="17.25" customHeight="1" thickBot="1">
      <c r="A12" s="46" t="s">
        <v>52</v>
      </c>
      <c r="B12" s="47"/>
      <c r="C12" s="47"/>
      <c r="D12" s="47"/>
      <c r="E12" s="47"/>
      <c r="F12" s="47"/>
      <c r="G12" s="47"/>
      <c r="H12" s="47"/>
      <c r="I12" s="47"/>
      <c r="J12" s="72"/>
      <c r="K12" s="47"/>
      <c r="L12" s="47"/>
      <c r="M12" s="47"/>
      <c r="N12" s="47"/>
      <c r="O12" s="48"/>
      <c r="P12" s="48"/>
    </row>
    <row r="13" spans="1:16" ht="14.1" customHeight="1" thickBot="1">
      <c r="A13" s="33" t="s">
        <v>0</v>
      </c>
      <c r="B13" s="71">
        <v>99.67</v>
      </c>
      <c r="C13" s="71">
        <v>99.73</v>
      </c>
      <c r="D13" s="71">
        <v>99.74</v>
      </c>
      <c r="E13" s="71">
        <v>99.76</v>
      </c>
      <c r="F13" s="71">
        <v>99.77</v>
      </c>
      <c r="G13" s="71">
        <v>99.78</v>
      </c>
      <c r="H13" s="71">
        <v>99.78</v>
      </c>
      <c r="I13" s="71">
        <v>99.79</v>
      </c>
      <c r="J13" s="71">
        <v>99.79</v>
      </c>
      <c r="K13" s="38">
        <v>99.76</v>
      </c>
      <c r="L13" s="38">
        <v>99.76</v>
      </c>
      <c r="M13" s="38">
        <v>99.77</v>
      </c>
      <c r="N13" s="50">
        <v>99.77</v>
      </c>
      <c r="O13" s="50">
        <v>99.7</v>
      </c>
      <c r="P13" s="50">
        <v>99.79</v>
      </c>
    </row>
    <row r="14" spans="1:16" ht="14.1" customHeight="1" thickBot="1">
      <c r="A14" s="34" t="s">
        <v>2</v>
      </c>
      <c r="B14" s="38">
        <v>1.61</v>
      </c>
      <c r="C14" s="38">
        <v>5.47</v>
      </c>
      <c r="D14" s="38">
        <v>8.6999999999999993</v>
      </c>
      <c r="E14" s="38">
        <v>5.05</v>
      </c>
      <c r="F14" s="38">
        <v>1.18</v>
      </c>
      <c r="G14" s="38">
        <v>3.45</v>
      </c>
      <c r="H14" s="38">
        <v>3.53</v>
      </c>
      <c r="I14" s="38">
        <v>4.91</v>
      </c>
      <c r="J14" s="38">
        <v>1.47</v>
      </c>
      <c r="K14" s="38">
        <v>7.33</v>
      </c>
      <c r="L14" s="38">
        <v>1.9</v>
      </c>
      <c r="M14" s="38">
        <v>3.7</v>
      </c>
      <c r="N14" s="12">
        <v>2.42</v>
      </c>
      <c r="O14" s="38">
        <v>7.12</v>
      </c>
      <c r="P14" s="38">
        <v>7.66</v>
      </c>
    </row>
    <row r="15" spans="1:16" ht="14.1" customHeight="1" thickBot="1">
      <c r="A15" s="33" t="s">
        <v>53</v>
      </c>
      <c r="B15" s="71">
        <v>54.02</v>
      </c>
      <c r="C15" s="71">
        <v>61.09</v>
      </c>
      <c r="D15" s="71">
        <v>61.33</v>
      </c>
      <c r="E15" s="71">
        <v>61.9</v>
      </c>
      <c r="F15" s="71">
        <v>62.41</v>
      </c>
      <c r="G15" s="71">
        <v>67.19</v>
      </c>
      <c r="H15" s="71">
        <v>68.72</v>
      </c>
      <c r="I15" s="71">
        <v>69.02</v>
      </c>
      <c r="J15" s="71">
        <v>69.58</v>
      </c>
      <c r="K15" s="38">
        <v>71.040000000000006</v>
      </c>
      <c r="L15" s="38">
        <v>70.95</v>
      </c>
      <c r="M15" s="38">
        <v>71</v>
      </c>
      <c r="N15" s="38">
        <v>71.748999999999995</v>
      </c>
      <c r="O15" s="38">
        <v>72.12</v>
      </c>
      <c r="P15" s="38">
        <v>72.36</v>
      </c>
    </row>
    <row r="16" spans="1:16" ht="14.1" customHeight="1" thickBot="1">
      <c r="A16" s="33" t="s">
        <v>50</v>
      </c>
      <c r="B16" s="71">
        <v>51.37</v>
      </c>
      <c r="C16" s="71">
        <v>59.19</v>
      </c>
      <c r="D16" s="71">
        <v>59.44</v>
      </c>
      <c r="E16" s="71">
        <v>60.19</v>
      </c>
      <c r="F16" s="71">
        <v>60.52</v>
      </c>
      <c r="G16" s="71">
        <v>65.95</v>
      </c>
      <c r="H16" s="71">
        <v>68.27</v>
      </c>
      <c r="I16" s="71">
        <v>68.569999999999993</v>
      </c>
      <c r="J16" s="71">
        <v>69.17</v>
      </c>
      <c r="K16" s="38">
        <v>70.849999999999994</v>
      </c>
      <c r="L16" s="38">
        <v>67.52</v>
      </c>
      <c r="M16" s="38">
        <v>67.64</v>
      </c>
      <c r="N16" s="38">
        <v>71.552999999999997</v>
      </c>
      <c r="O16" s="38">
        <v>71.930000000000007</v>
      </c>
      <c r="P16" s="38">
        <v>72.17</v>
      </c>
    </row>
    <row r="17" spans="1:16" ht="14.1" customHeight="1" thickBot="1">
      <c r="A17" s="35" t="s">
        <v>10</v>
      </c>
      <c r="B17" s="56">
        <v>16.97</v>
      </c>
      <c r="C17" s="56">
        <v>13.02</v>
      </c>
      <c r="D17" s="56">
        <v>12.95</v>
      </c>
      <c r="E17" s="56">
        <v>12.95</v>
      </c>
      <c r="F17" s="56">
        <v>12.74</v>
      </c>
      <c r="G17" s="56">
        <v>8.3799999999999955</v>
      </c>
      <c r="H17" s="56">
        <v>7.04</v>
      </c>
      <c r="I17" s="56">
        <v>6.95</v>
      </c>
      <c r="J17" s="56">
        <v>6.65</v>
      </c>
      <c r="K17" s="38">
        <v>5.53</v>
      </c>
      <c r="L17" s="38">
        <v>5.6</v>
      </c>
      <c r="M17" s="38">
        <v>4.78</v>
      </c>
      <c r="N17" s="38">
        <v>4.7580000000000098</v>
      </c>
      <c r="O17" s="38">
        <v>4.66</v>
      </c>
      <c r="P17" s="38">
        <f>P18-P15</f>
        <v>4.6899999999999977</v>
      </c>
    </row>
    <row r="18" spans="1:16" ht="14.1" customHeight="1" thickBot="1">
      <c r="A18" s="35" t="s">
        <v>51</v>
      </c>
      <c r="B18" s="56">
        <v>70.989999999999995</v>
      </c>
      <c r="C18" s="56">
        <v>74.11</v>
      </c>
      <c r="D18" s="56">
        <v>74.27</v>
      </c>
      <c r="E18" s="56">
        <v>74.849999999999994</v>
      </c>
      <c r="F18" s="56">
        <v>75.150000000000006</v>
      </c>
      <c r="G18" s="56">
        <v>75.569999999999993</v>
      </c>
      <c r="H18" s="56">
        <v>75.75</v>
      </c>
      <c r="I18" s="56">
        <v>75.97</v>
      </c>
      <c r="J18" s="56">
        <v>76.23</v>
      </c>
      <c r="K18" s="38">
        <v>76.58</v>
      </c>
      <c r="L18" s="38">
        <v>76.55</v>
      </c>
      <c r="M18" s="38">
        <v>75.78</v>
      </c>
      <c r="N18" s="38">
        <v>76.507000000000005</v>
      </c>
      <c r="O18" s="38">
        <v>76.78</v>
      </c>
      <c r="P18" s="63">
        <v>77.05</v>
      </c>
    </row>
    <row r="19" spans="1:16" s="16" customFormat="1" ht="17.25" customHeight="1" thickBot="1">
      <c r="A19" s="46" t="s">
        <v>54</v>
      </c>
      <c r="B19" s="47"/>
      <c r="C19" s="47"/>
      <c r="D19" s="47"/>
      <c r="E19" s="47"/>
      <c r="F19" s="47"/>
      <c r="G19" s="47"/>
      <c r="H19" s="47"/>
      <c r="I19" s="47"/>
      <c r="J19" s="72"/>
      <c r="K19" s="47"/>
      <c r="L19" s="47"/>
      <c r="M19" s="47"/>
      <c r="N19" s="47"/>
      <c r="O19" s="48"/>
      <c r="P19" s="48"/>
    </row>
    <row r="20" spans="1:16" ht="14.1" customHeight="1" thickBot="1">
      <c r="A20" s="33" t="s">
        <v>0</v>
      </c>
      <c r="B20" s="71">
        <v>99.83</v>
      </c>
      <c r="C20" s="71">
        <v>99.9</v>
      </c>
      <c r="D20" s="71">
        <v>99.94</v>
      </c>
      <c r="E20" s="71">
        <v>99.94</v>
      </c>
      <c r="F20" s="71">
        <v>99.94</v>
      </c>
      <c r="G20" s="71">
        <v>99.94</v>
      </c>
      <c r="H20" s="71">
        <v>99.94</v>
      </c>
      <c r="I20" s="71">
        <v>99.94</v>
      </c>
      <c r="J20" s="71">
        <v>99.95</v>
      </c>
      <c r="K20" s="38">
        <v>99.94</v>
      </c>
      <c r="L20" s="38">
        <v>99.94</v>
      </c>
      <c r="M20" s="38">
        <v>99.95</v>
      </c>
      <c r="N20" s="50">
        <v>99.95</v>
      </c>
      <c r="O20" s="50">
        <v>99.96</v>
      </c>
      <c r="P20" s="50">
        <v>99.93</v>
      </c>
    </row>
    <row r="21" spans="1:16" ht="14.1" customHeight="1" thickBot="1">
      <c r="A21" s="34" t="s">
        <v>2</v>
      </c>
      <c r="B21" s="38">
        <v>0.56000000000000005</v>
      </c>
      <c r="C21" s="38">
        <v>0.86</v>
      </c>
      <c r="D21" s="38">
        <v>1.1200000000000001</v>
      </c>
      <c r="E21" s="38">
        <v>1.19</v>
      </c>
      <c r="F21" s="38">
        <v>0.23</v>
      </c>
      <c r="G21" s="38">
        <v>0.14000000000000001</v>
      </c>
      <c r="H21" s="38">
        <v>1.06</v>
      </c>
      <c r="I21" s="38">
        <v>2.06</v>
      </c>
      <c r="J21" s="38">
        <v>1.92</v>
      </c>
      <c r="K21" s="38">
        <v>3.43</v>
      </c>
      <c r="L21" s="38">
        <v>5.08</v>
      </c>
      <c r="M21" s="38">
        <v>2.0299999999999998</v>
      </c>
      <c r="N21" s="56">
        <v>2.04</v>
      </c>
      <c r="O21" s="38">
        <v>2.78</v>
      </c>
      <c r="P21" s="38">
        <v>4.8</v>
      </c>
    </row>
    <row r="22" spans="1:16" ht="14.1" customHeight="1" thickBot="1">
      <c r="A22" s="33" t="s">
        <v>53</v>
      </c>
      <c r="B22" s="71">
        <v>65.8</v>
      </c>
      <c r="C22" s="71">
        <v>70.84</v>
      </c>
      <c r="D22" s="71">
        <v>71.180000000000007</v>
      </c>
      <c r="E22" s="71">
        <v>71.430000000000007</v>
      </c>
      <c r="F22" s="71">
        <v>71.510000000000005</v>
      </c>
      <c r="G22" s="71">
        <v>74.55</v>
      </c>
      <c r="H22" s="71">
        <v>74.53</v>
      </c>
      <c r="I22" s="71">
        <v>74.87</v>
      </c>
      <c r="J22" s="71">
        <v>75.010000000000005</v>
      </c>
      <c r="K22" s="38">
        <v>75.099999999999994</v>
      </c>
      <c r="L22" s="38">
        <v>76.62</v>
      </c>
      <c r="M22" s="38">
        <v>76.47</v>
      </c>
      <c r="N22" s="38">
        <v>77.17</v>
      </c>
      <c r="O22" s="38">
        <v>77.98</v>
      </c>
      <c r="P22" s="38">
        <v>77.95</v>
      </c>
    </row>
    <row r="23" spans="1:16" ht="14.1" customHeight="1" thickBot="1">
      <c r="A23" s="33" t="s">
        <v>50</v>
      </c>
      <c r="B23" s="71">
        <v>57.15</v>
      </c>
      <c r="C23" s="71">
        <v>62.57</v>
      </c>
      <c r="D23" s="71">
        <v>62.94</v>
      </c>
      <c r="E23" s="71">
        <v>64.36</v>
      </c>
      <c r="F23" s="71">
        <v>64.489999999999995</v>
      </c>
      <c r="G23" s="71">
        <v>67.59</v>
      </c>
      <c r="H23" s="71">
        <v>67.64</v>
      </c>
      <c r="I23" s="71">
        <v>74.86</v>
      </c>
      <c r="J23" s="71">
        <v>75.010000000000005</v>
      </c>
      <c r="K23" s="38">
        <v>75.099999999999994</v>
      </c>
      <c r="L23" s="38">
        <v>76.62</v>
      </c>
      <c r="M23" s="38">
        <v>76.37</v>
      </c>
      <c r="N23" s="38">
        <v>77.072999999999993</v>
      </c>
      <c r="O23" s="38">
        <v>77.89</v>
      </c>
      <c r="P23" s="38">
        <v>77.849999999999994</v>
      </c>
    </row>
    <row r="24" spans="1:16" ht="14.1" customHeight="1" thickBot="1">
      <c r="A24" s="35" t="s">
        <v>10</v>
      </c>
      <c r="B24" s="56">
        <v>9.41</v>
      </c>
      <c r="C24" s="56">
        <v>6.49</v>
      </c>
      <c r="D24" s="56">
        <v>6.47</v>
      </c>
      <c r="E24" s="56">
        <v>6.48</v>
      </c>
      <c r="F24" s="56">
        <v>6.48</v>
      </c>
      <c r="G24" s="56">
        <v>4.4099999999999966</v>
      </c>
      <c r="H24" s="56">
        <v>4.46</v>
      </c>
      <c r="I24" s="56">
        <v>4.45</v>
      </c>
      <c r="J24" s="56">
        <v>4.43</v>
      </c>
      <c r="K24" s="38">
        <v>4.04</v>
      </c>
      <c r="L24" s="38">
        <v>2.2999999999999998</v>
      </c>
      <c r="M24" s="38">
        <v>2.4900000000000002</v>
      </c>
      <c r="N24" s="38">
        <v>2.2909999999999968</v>
      </c>
      <c r="O24" s="38">
        <v>2.15</v>
      </c>
      <c r="P24" s="38">
        <f>P25-P22</f>
        <v>2.2800000000000011</v>
      </c>
    </row>
    <row r="25" spans="1:16" ht="14.1" customHeight="1" thickBot="1">
      <c r="A25" s="35" t="s">
        <v>51</v>
      </c>
      <c r="B25" s="56">
        <v>75.209999999999994</v>
      </c>
      <c r="C25" s="56">
        <v>77.34</v>
      </c>
      <c r="D25" s="56">
        <v>77.66</v>
      </c>
      <c r="E25" s="56">
        <v>77.91</v>
      </c>
      <c r="F25" s="56">
        <v>77.989999999999995</v>
      </c>
      <c r="G25" s="56">
        <v>78.959999999999994</v>
      </c>
      <c r="H25" s="56">
        <v>79</v>
      </c>
      <c r="I25" s="56">
        <v>79.319999999999993</v>
      </c>
      <c r="J25" s="56">
        <v>79.44</v>
      </c>
      <c r="K25" s="38">
        <v>79.14</v>
      </c>
      <c r="L25" s="38">
        <v>78.92</v>
      </c>
      <c r="M25" s="38">
        <v>78.959999999999994</v>
      </c>
      <c r="N25" s="38">
        <v>79.460999999999999</v>
      </c>
      <c r="O25" s="38">
        <v>80.14</v>
      </c>
      <c r="P25" s="38">
        <v>80.23</v>
      </c>
    </row>
    <row r="26" spans="1:16" s="16" customFormat="1" ht="17.25" customHeight="1" thickBot="1">
      <c r="A26" s="46" t="s">
        <v>55</v>
      </c>
      <c r="B26" s="47"/>
      <c r="C26" s="47"/>
      <c r="D26" s="47"/>
      <c r="E26" s="47"/>
      <c r="F26" s="47"/>
      <c r="G26" s="47"/>
      <c r="H26" s="47"/>
      <c r="I26" s="47"/>
      <c r="J26" s="72"/>
      <c r="K26" s="47"/>
      <c r="L26" s="47"/>
      <c r="M26" s="47"/>
      <c r="N26" s="47"/>
      <c r="O26" s="48"/>
      <c r="P26" s="48"/>
    </row>
    <row r="27" spans="1:16" ht="14.1" customHeight="1" thickBot="1">
      <c r="A27" s="33" t="s">
        <v>0</v>
      </c>
      <c r="B27" s="71">
        <v>98.41</v>
      </c>
      <c r="C27" s="71">
        <v>98.58</v>
      </c>
      <c r="D27" s="71">
        <v>98.65</v>
      </c>
      <c r="E27" s="71">
        <v>98.69</v>
      </c>
      <c r="F27" s="71">
        <v>98.74</v>
      </c>
      <c r="G27" s="71">
        <v>98.78</v>
      </c>
      <c r="H27" s="71">
        <v>98.79</v>
      </c>
      <c r="I27" s="71">
        <v>98.85</v>
      </c>
      <c r="J27" s="71">
        <v>98.92</v>
      </c>
      <c r="K27" s="38">
        <v>98.69</v>
      </c>
      <c r="L27" s="38">
        <v>98.71</v>
      </c>
      <c r="M27" s="38">
        <v>98.77</v>
      </c>
      <c r="N27" s="50">
        <v>98.79</v>
      </c>
      <c r="O27" s="50">
        <v>98.73</v>
      </c>
      <c r="P27" s="50">
        <v>98.9</v>
      </c>
    </row>
    <row r="28" spans="1:16" ht="14.1" customHeight="1" thickBot="1">
      <c r="A28" s="34" t="s">
        <v>2</v>
      </c>
      <c r="B28" s="38">
        <v>0.28000000000000003</v>
      </c>
      <c r="C28" s="38">
        <v>0.92</v>
      </c>
      <c r="D28" s="38">
        <v>0.84</v>
      </c>
      <c r="E28" s="38">
        <v>1.23</v>
      </c>
      <c r="F28" s="38">
        <v>0.03</v>
      </c>
      <c r="G28" s="38">
        <v>0.32</v>
      </c>
      <c r="H28" s="38">
        <v>0.8</v>
      </c>
      <c r="I28" s="38">
        <v>1.2</v>
      </c>
      <c r="J28" s="38">
        <v>0.14000000000000001</v>
      </c>
      <c r="K28" s="38">
        <v>1.28</v>
      </c>
      <c r="L28" s="38">
        <v>1.96</v>
      </c>
      <c r="M28" s="38">
        <v>1.45</v>
      </c>
      <c r="N28" s="56">
        <v>0.74</v>
      </c>
      <c r="O28" s="38">
        <v>0.99</v>
      </c>
      <c r="P28" s="38">
        <v>2.87</v>
      </c>
    </row>
    <row r="29" spans="1:16" ht="14.1" customHeight="1" thickBot="1">
      <c r="A29" s="33" t="s">
        <v>53</v>
      </c>
      <c r="B29" s="71">
        <v>30.21</v>
      </c>
      <c r="C29" s="71">
        <v>43.02</v>
      </c>
      <c r="D29" s="71">
        <v>43.28</v>
      </c>
      <c r="E29" s="71">
        <v>43.46</v>
      </c>
      <c r="F29" s="71">
        <v>43.59</v>
      </c>
      <c r="G29" s="71">
        <v>52.43</v>
      </c>
      <c r="H29" s="71">
        <v>52.98</v>
      </c>
      <c r="I29" s="71">
        <v>53.34</v>
      </c>
      <c r="J29" s="71">
        <v>53.55</v>
      </c>
      <c r="K29" s="38">
        <v>53.51</v>
      </c>
      <c r="L29" s="38">
        <v>59.74</v>
      </c>
      <c r="M29" s="38">
        <v>59.97</v>
      </c>
      <c r="N29" s="38">
        <v>59.753999999999998</v>
      </c>
      <c r="O29" s="38">
        <v>59.48</v>
      </c>
      <c r="P29" s="38">
        <v>59.83</v>
      </c>
    </row>
    <row r="30" spans="1:16" ht="14.1" customHeight="1" thickBot="1">
      <c r="A30" s="33" t="s">
        <v>50</v>
      </c>
      <c r="B30" s="71">
        <v>29.88</v>
      </c>
      <c r="C30" s="71">
        <v>43.01</v>
      </c>
      <c r="D30" s="71">
        <v>43.26</v>
      </c>
      <c r="E30" s="71">
        <v>43.45</v>
      </c>
      <c r="F30" s="71">
        <v>43.58</v>
      </c>
      <c r="G30" s="71">
        <v>52.41</v>
      </c>
      <c r="H30" s="71">
        <v>52.97</v>
      </c>
      <c r="I30" s="71">
        <v>53.32</v>
      </c>
      <c r="J30" s="71">
        <v>53.53</v>
      </c>
      <c r="K30" s="38">
        <v>53.51</v>
      </c>
      <c r="L30" s="38">
        <v>59.74</v>
      </c>
      <c r="M30" s="38">
        <v>59.97</v>
      </c>
      <c r="N30" s="38">
        <v>59.670999999999999</v>
      </c>
      <c r="O30" s="38">
        <v>59.4</v>
      </c>
      <c r="P30" s="38">
        <v>59.83</v>
      </c>
    </row>
    <row r="31" spans="1:16" ht="14.1" customHeight="1" thickBot="1">
      <c r="A31" s="35" t="s">
        <v>10</v>
      </c>
      <c r="B31" s="56">
        <v>37.15</v>
      </c>
      <c r="C31" s="56">
        <v>28.54</v>
      </c>
      <c r="D31" s="56">
        <v>28.79</v>
      </c>
      <c r="E31" s="56">
        <v>28.76</v>
      </c>
      <c r="F31" s="56">
        <v>28.71</v>
      </c>
      <c r="G31" s="56">
        <v>20.240000000000002</v>
      </c>
      <c r="H31" s="56">
        <v>19.89</v>
      </c>
      <c r="I31" s="56">
        <v>19.97</v>
      </c>
      <c r="J31" s="56">
        <v>19.940000000000001</v>
      </c>
      <c r="K31" s="38">
        <v>20.22</v>
      </c>
      <c r="L31" s="38">
        <v>13.58</v>
      </c>
      <c r="M31" s="38">
        <v>10.14</v>
      </c>
      <c r="N31" s="38">
        <v>10.073</v>
      </c>
      <c r="O31" s="38">
        <v>10.16</v>
      </c>
      <c r="P31" s="38">
        <f>P32-P29</f>
        <v>10.070000000000007</v>
      </c>
    </row>
    <row r="32" spans="1:16" ht="14.1" customHeight="1" thickBot="1">
      <c r="A32" s="35" t="s">
        <v>51</v>
      </c>
      <c r="B32" s="56">
        <v>67.349999999999994</v>
      </c>
      <c r="C32" s="56">
        <v>71.56</v>
      </c>
      <c r="D32" s="56">
        <v>72.069999999999993</v>
      </c>
      <c r="E32" s="56">
        <v>72.22</v>
      </c>
      <c r="F32" s="56">
        <v>72.3</v>
      </c>
      <c r="G32" s="56">
        <v>72.67</v>
      </c>
      <c r="H32" s="56">
        <v>72.87</v>
      </c>
      <c r="I32" s="56">
        <v>73.31</v>
      </c>
      <c r="J32" s="56">
        <v>73.489999999999995</v>
      </c>
      <c r="K32" s="38">
        <v>73.73</v>
      </c>
      <c r="L32" s="38">
        <v>73.319999999999993</v>
      </c>
      <c r="M32" s="38">
        <v>69.62</v>
      </c>
      <c r="N32" s="38">
        <v>69.826999999999998</v>
      </c>
      <c r="O32" s="38">
        <v>69.64</v>
      </c>
      <c r="P32" s="38">
        <v>69.900000000000006</v>
      </c>
    </row>
    <row r="33" spans="1:16" s="16" customFormat="1" ht="17.25" customHeight="1" thickBot="1">
      <c r="A33" s="46" t="s">
        <v>56</v>
      </c>
      <c r="B33" s="47"/>
      <c r="C33" s="47"/>
      <c r="D33" s="47"/>
      <c r="E33" s="47"/>
      <c r="F33" s="47"/>
      <c r="G33" s="47"/>
      <c r="H33" s="47"/>
      <c r="I33" s="47"/>
      <c r="J33" s="72"/>
      <c r="K33" s="47"/>
      <c r="L33" s="47"/>
      <c r="M33" s="47"/>
      <c r="N33" s="47"/>
      <c r="O33" s="48"/>
      <c r="P33" s="48"/>
    </row>
    <row r="34" spans="1:16" ht="14.1" customHeight="1" thickBot="1">
      <c r="A34" s="33" t="s">
        <v>0</v>
      </c>
      <c r="B34" s="71">
        <v>96.94</v>
      </c>
      <c r="C34" s="71">
        <v>97.1</v>
      </c>
      <c r="D34" s="71">
        <v>97.46</v>
      </c>
      <c r="E34" s="71">
        <v>97.49</v>
      </c>
      <c r="F34" s="71">
        <v>97.52</v>
      </c>
      <c r="G34" s="71">
        <v>97.52</v>
      </c>
      <c r="H34" s="71">
        <v>97.52</v>
      </c>
      <c r="I34" s="71">
        <v>98.35</v>
      </c>
      <c r="J34" s="71">
        <v>99.16</v>
      </c>
      <c r="K34" s="38">
        <v>98.96</v>
      </c>
      <c r="L34" s="38">
        <v>99.35</v>
      </c>
      <c r="M34" s="38">
        <v>98.71</v>
      </c>
      <c r="N34" s="50">
        <v>99.03</v>
      </c>
      <c r="O34" s="50">
        <v>99.03</v>
      </c>
      <c r="P34" s="50">
        <v>99.09</v>
      </c>
    </row>
    <row r="35" spans="1:16" ht="14.1" customHeight="1" thickBot="1">
      <c r="A35" s="34" t="s">
        <v>2</v>
      </c>
      <c r="B35" s="38">
        <v>0.67</v>
      </c>
      <c r="C35" s="38">
        <v>0.26</v>
      </c>
      <c r="D35" s="38">
        <v>0.26</v>
      </c>
      <c r="E35" s="38">
        <v>0.26</v>
      </c>
      <c r="F35" s="38">
        <v>0</v>
      </c>
      <c r="G35" s="38">
        <v>0.22</v>
      </c>
      <c r="H35" s="38">
        <v>0.22</v>
      </c>
      <c r="I35" s="38">
        <v>0.22</v>
      </c>
      <c r="J35" s="38">
        <v>0.48</v>
      </c>
      <c r="K35" s="38">
        <v>20.399999999999999</v>
      </c>
      <c r="L35" s="38">
        <v>20.77</v>
      </c>
      <c r="M35" s="38">
        <v>6.53</v>
      </c>
      <c r="N35" s="56">
        <v>4.96</v>
      </c>
      <c r="O35" s="38">
        <v>5.24</v>
      </c>
      <c r="P35" s="38">
        <v>7.58</v>
      </c>
    </row>
    <row r="36" spans="1:16" ht="14.1" customHeight="1" thickBot="1">
      <c r="A36" s="33" t="s">
        <v>53</v>
      </c>
      <c r="B36" s="71">
        <v>43.14</v>
      </c>
      <c r="C36" s="71">
        <v>43.97</v>
      </c>
      <c r="D36" s="71">
        <v>44</v>
      </c>
      <c r="E36" s="71">
        <v>44.06</v>
      </c>
      <c r="F36" s="71">
        <v>44.19</v>
      </c>
      <c r="G36" s="71">
        <v>46.67</v>
      </c>
      <c r="H36" s="71">
        <v>46.16</v>
      </c>
      <c r="I36" s="71">
        <v>45.73</v>
      </c>
      <c r="J36" s="71">
        <v>47.59</v>
      </c>
      <c r="K36" s="38">
        <v>47.56</v>
      </c>
      <c r="L36" s="38">
        <v>47.33</v>
      </c>
      <c r="M36" s="38">
        <v>50.19</v>
      </c>
      <c r="N36" s="38">
        <v>48.323999999999998</v>
      </c>
      <c r="O36" s="38">
        <v>48.33</v>
      </c>
      <c r="P36" s="38">
        <v>48.01</v>
      </c>
    </row>
    <row r="37" spans="1:16" ht="14.1" customHeight="1" thickBot="1">
      <c r="A37" s="33" t="s">
        <v>50</v>
      </c>
      <c r="B37" s="71">
        <v>43.08</v>
      </c>
      <c r="C37" s="71">
        <v>43.93</v>
      </c>
      <c r="D37" s="71">
        <v>43.96</v>
      </c>
      <c r="E37" s="71">
        <v>44.02</v>
      </c>
      <c r="F37" s="71">
        <v>44.14</v>
      </c>
      <c r="G37" s="71">
        <v>46.62</v>
      </c>
      <c r="H37" s="71">
        <v>46.16</v>
      </c>
      <c r="I37" s="71">
        <v>45.58</v>
      </c>
      <c r="J37" s="71">
        <v>47.45</v>
      </c>
      <c r="K37" s="38">
        <v>47.46</v>
      </c>
      <c r="L37" s="38">
        <v>47.22</v>
      </c>
      <c r="M37" s="38">
        <v>50.08</v>
      </c>
      <c r="N37" s="38">
        <v>48.213000000000001</v>
      </c>
      <c r="O37" s="38">
        <v>48.22</v>
      </c>
      <c r="P37" s="38">
        <v>47.9</v>
      </c>
    </row>
    <row r="38" spans="1:16" ht="14.1" customHeight="1" thickBot="1">
      <c r="A38" s="35" t="s">
        <v>10</v>
      </c>
      <c r="B38" s="56">
        <v>28.86</v>
      </c>
      <c r="C38" s="56">
        <v>33.06</v>
      </c>
      <c r="D38" s="56">
        <v>32.54</v>
      </c>
      <c r="E38" s="56">
        <v>32.65</v>
      </c>
      <c r="F38" s="56">
        <v>32.6</v>
      </c>
      <c r="G38" s="56">
        <v>32.090000000000003</v>
      </c>
      <c r="H38" s="56">
        <v>33.19</v>
      </c>
      <c r="I38" s="56">
        <v>34.270000000000003</v>
      </c>
      <c r="J38" s="56">
        <v>32.07</v>
      </c>
      <c r="K38" s="38">
        <v>32.549999999999997</v>
      </c>
      <c r="L38" s="38">
        <v>32.799999999999997</v>
      </c>
      <c r="M38" s="38">
        <v>30.09</v>
      </c>
      <c r="N38" s="38">
        <v>28.677000000000007</v>
      </c>
      <c r="O38" s="38">
        <v>28.21</v>
      </c>
      <c r="P38" s="38">
        <f>P39-P36</f>
        <v>29.309999999999995</v>
      </c>
    </row>
    <row r="39" spans="1:16" ht="14.1" customHeight="1" thickBot="1">
      <c r="A39" s="35" t="s">
        <v>51</v>
      </c>
      <c r="B39" s="56">
        <v>72</v>
      </c>
      <c r="C39" s="56">
        <v>77.03</v>
      </c>
      <c r="D39" s="56">
        <v>76.55</v>
      </c>
      <c r="E39" s="56">
        <v>76.709999999999994</v>
      </c>
      <c r="F39" s="56">
        <v>76.790000000000006</v>
      </c>
      <c r="G39" s="56">
        <v>78.760000000000005</v>
      </c>
      <c r="H39" s="56">
        <v>79.349999999999994</v>
      </c>
      <c r="I39" s="56">
        <v>80</v>
      </c>
      <c r="J39" s="56">
        <v>79.650000000000006</v>
      </c>
      <c r="K39" s="38">
        <v>80.12</v>
      </c>
      <c r="L39" s="38">
        <v>80.13</v>
      </c>
      <c r="M39" s="38">
        <v>80.06</v>
      </c>
      <c r="N39" s="38">
        <v>77.001000000000005</v>
      </c>
      <c r="O39" s="38">
        <v>76.55</v>
      </c>
      <c r="P39" s="38">
        <v>77.319999999999993</v>
      </c>
    </row>
    <row r="42" spans="1:16" ht="34.5" customHeight="1">
      <c r="A42" s="94" t="s">
        <v>70</v>
      </c>
      <c r="B42" s="94"/>
      <c r="C42" s="94"/>
      <c r="D42" s="94"/>
      <c r="E42" s="94"/>
      <c r="F42" s="94"/>
      <c r="G42" s="58"/>
    </row>
    <row r="43" spans="1:16" ht="22.5" customHeight="1">
      <c r="A43" s="93" t="s">
        <v>69</v>
      </c>
      <c r="B43" s="93"/>
      <c r="C43" s="93"/>
      <c r="D43" s="93"/>
      <c r="E43" s="93"/>
      <c r="F43" s="93"/>
    </row>
    <row r="44" spans="1:16" ht="34.5" customHeight="1">
      <c r="A44" s="93" t="s">
        <v>71</v>
      </c>
      <c r="B44" s="93"/>
      <c r="C44" s="93"/>
      <c r="D44" s="93"/>
      <c r="E44" s="93"/>
      <c r="F44" s="93"/>
    </row>
    <row r="45" spans="1:16" ht="13.5" customHeight="1">
      <c r="A45" s="95"/>
      <c r="B45" s="95"/>
      <c r="C45" s="95"/>
      <c r="D45" s="95"/>
      <c r="E45" s="95"/>
      <c r="F45" s="95"/>
    </row>
    <row r="46" spans="1:16" ht="15" customHeight="1">
      <c r="A46" s="67"/>
      <c r="B46" s="68"/>
      <c r="C46" s="69"/>
      <c r="D46" s="69"/>
      <c r="E46" s="70"/>
      <c r="F46" s="69"/>
    </row>
  </sheetData>
  <mergeCells count="5">
    <mergeCell ref="A43:F43"/>
    <mergeCell ref="A44:F44"/>
    <mergeCell ref="A42:F42"/>
    <mergeCell ref="A45:F45"/>
    <mergeCell ref="A2:F2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9.8.1. POP BG</vt:lpstr>
      <vt:lpstr>9.8.2. Statistical Regions</vt:lpstr>
      <vt:lpstr>9.8.3.RBDs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Maria Zlatkova</cp:lastModifiedBy>
  <dcterms:created xsi:type="dcterms:W3CDTF">2013-12-12T20:44:01Z</dcterms:created>
  <dcterms:modified xsi:type="dcterms:W3CDTF">2026-03-10T12:09:43Z</dcterms:modified>
</cp:coreProperties>
</file>